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SQL_Result" sheetId="1" r:id="rId5"/>
    <sheet state="visible" name="02_Data_Preparation" sheetId="2" r:id="rId6"/>
    <sheet state="visible" name="03_Business_Insights" sheetId="3" r:id="rId7"/>
  </sheets>
  <definedNames/>
  <calcPr/>
</workbook>
</file>

<file path=xl/sharedStrings.xml><?xml version="1.0" encoding="utf-8"?>
<sst xmlns="http://schemas.openxmlformats.org/spreadsheetml/2006/main" count="101" uniqueCount="53">
  <si>
    <t>customer_id</t>
  </si>
  <si>
    <t>first_name</t>
  </si>
  <si>
    <t>last_name</t>
  </si>
  <si>
    <t>city</t>
  </si>
  <si>
    <t>credit_score</t>
  </si>
  <si>
    <t>total_transactions</t>
  </si>
  <si>
    <t>total_transaction_volume</t>
  </si>
  <si>
    <t>avg_transaction_amount</t>
  </si>
  <si>
    <t>CUSEPV1YW0Y2JL9</t>
  </si>
  <si>
    <t>Joseph</t>
  </si>
  <si>
    <t>Martinez</t>
  </si>
  <si>
    <t>North Alexander</t>
  </si>
  <si>
    <t>CUSKHXM7VPMNF2X</t>
  </si>
  <si>
    <t>Erika</t>
  </si>
  <si>
    <t>Fischer</t>
  </si>
  <si>
    <t>North Deborahtown</t>
  </si>
  <si>
    <t>CUSNEYFKGVXHFTU</t>
  </si>
  <si>
    <t>Lisa</t>
  </si>
  <si>
    <t>Silva</t>
  </si>
  <si>
    <t>North Jessicaburgh</t>
  </si>
  <si>
    <t>CUS50SZY6T73XEG</t>
  </si>
  <si>
    <t>Emma</t>
  </si>
  <si>
    <t>Franklin</t>
  </si>
  <si>
    <t>Lake Lisa</t>
  </si>
  <si>
    <t>CUS8NO7NQOTSVFK</t>
  </si>
  <si>
    <t>James</t>
  </si>
  <si>
    <t>Bryant</t>
  </si>
  <si>
    <t>Lake Donnastad</t>
  </si>
  <si>
    <t>CUS4DVVVZPFNEOM</t>
  </si>
  <si>
    <t>Sandra</t>
  </si>
  <si>
    <t>Terry</t>
  </si>
  <si>
    <t>West Anthony</t>
  </si>
  <si>
    <t>CUS7CSZSWOVN7GL</t>
  </si>
  <si>
    <t>Keith</t>
  </si>
  <si>
    <t>Bautista</t>
  </si>
  <si>
    <t>West Tomhaven</t>
  </si>
  <si>
    <t>CUS6KT8NOMTTU2B</t>
  </si>
  <si>
    <t>Bobby</t>
  </si>
  <si>
    <t>Wagner</t>
  </si>
  <si>
    <t>West Kaitlyn</t>
  </si>
  <si>
    <t>CUSN2LWQV1UR1PY</t>
  </si>
  <si>
    <t>Jeanette</t>
  </si>
  <si>
    <t>Jenkins</t>
  </si>
  <si>
    <t>South Laura</t>
  </si>
  <si>
    <t>CUS5D7V6KLPGXD9</t>
  </si>
  <si>
    <t>Allison</t>
  </si>
  <si>
    <t>Marsh</t>
  </si>
  <si>
    <t>Williamsonmouth</t>
  </si>
  <si>
    <t>customer_name</t>
  </si>
  <si>
    <t>credit_score_category</t>
  </si>
  <si>
    <t>customer_segment</t>
  </si>
  <si>
    <t>Customer Name</t>
  </si>
  <si>
    <t>Transaction Volume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</si>
</sst>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9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b/>
      <sz val="9.0"/>
      <color rgb="FFFFFFFF"/>
      <name val="Arial"/>
      <scheme val="minor"/>
    </font>
    <font>
      <sz val="9.0"/>
      <color rgb="FFFFFFFF"/>
      <name val="Arial"/>
      <scheme val="minor"/>
    </font>
    <font>
      <sz val="9.0"/>
      <color theme="1"/>
      <name val="Arial"/>
      <scheme val="minor"/>
    </font>
    <font>
      <b/>
      <color theme="0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164" xfId="0" applyAlignment="1" applyFont="1" applyNumberFormat="1">
      <alignment horizontal="center" readingOrder="0"/>
    </xf>
    <xf borderId="0" fillId="0" fontId="2" numFmtId="0" xfId="0" applyFont="1"/>
    <xf borderId="0" fillId="2" fontId="2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0" fontId="3" numFmtId="164" xfId="0" applyFont="1" applyNumberFormat="1"/>
    <xf borderId="0" fillId="0" fontId="3" numFmtId="165" xfId="0" applyAlignment="1" applyFont="1" applyNumberFormat="1">
      <alignment readingOrder="0"/>
    </xf>
    <xf borderId="0" fillId="2" fontId="4" numFmtId="0" xfId="0" applyAlignment="1" applyFont="1">
      <alignment horizontal="center" readingOrder="0"/>
    </xf>
    <xf borderId="0" fillId="2" fontId="4" numFmtId="164" xfId="0" applyAlignment="1" applyFont="1" applyNumberFormat="1">
      <alignment horizontal="center" readingOrder="0"/>
    </xf>
    <xf borderId="0" fillId="2" fontId="5" numFmtId="0" xfId="0" applyAlignment="1" applyFont="1">
      <alignment horizontal="center" readingOrder="0"/>
    </xf>
    <xf borderId="0" fillId="2" fontId="2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6" numFmtId="0" xfId="0" applyFont="1"/>
    <xf borderId="0" fillId="0" fontId="6" numFmtId="164" xfId="0" applyAlignment="1" applyFont="1" applyNumberFormat="1">
      <alignment readingOrder="0"/>
    </xf>
    <xf borderId="1" fillId="2" fontId="7" numFmtId="0" xfId="0" applyAlignment="1" applyBorder="1" applyFont="1">
      <alignment horizontal="center" readingOrder="0"/>
    </xf>
    <xf borderId="0" fillId="0" fontId="8" numFmtId="0" xfId="0" applyFont="1"/>
    <xf borderId="1" fillId="0" fontId="3" numFmtId="0" xfId="0" applyAlignment="1" applyBorder="1" applyFont="1">
      <alignment readingOrder="0"/>
    </xf>
    <xf borderId="1" fillId="0" fontId="3" numFmtId="164" xfId="0" applyAlignment="1" applyBorder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1F4E79"/>
          <bgColor rgb="FF1F4E7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5F7FA"/>
          <bgColor rgb="FFF5F7FA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3" pivot="0" name="01_SQL_Result-style">
      <tableStyleElement dxfId="1" type="headerRow"/>
      <tableStyleElement dxfId="2" type="firstRowStripe"/>
      <tableStyleElement dxfId="3" type="secondRowStripe"/>
    </tableStyle>
    <tableStyle count="3" pivot="0" name="02_Data_Preparatio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Customers by Transaction Volume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'03_Business_Insights'!$B$1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'03_Business_Insights'!$A$2:$A$11</c:f>
            </c:strRef>
          </c:cat>
          <c:val>
            <c:numRef>
              <c:f>'03_Business_Insights'!$B$2:$B$11</c:f>
              <c:numCache/>
            </c:numRef>
          </c:val>
        </c:ser>
        <c:axId val="744729797"/>
        <c:axId val="577960721"/>
      </c:barChart>
      <c:catAx>
        <c:axId val="74472979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7960721"/>
      </c:catAx>
      <c:valAx>
        <c:axId val="5779607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Transaction Volume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4729797"/>
        <c:crosses val="max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0</xdr:row>
      <xdr:rowOff>0</xdr:rowOff>
    </xdr:from>
    <xdr:ext cx="5715000" cy="35718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Z100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01_SQL_Resul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Z1000" displayName="Table_2" name="Table_2" id="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02_Data_Preparati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9.38"/>
    <col customWidth="1" min="3" max="3" width="9.13"/>
    <col customWidth="1" min="4" max="4" width="15.5"/>
    <col customWidth="1" min="5" max="5" width="10.88"/>
    <col customWidth="1" min="6" max="6" width="15.38"/>
    <col customWidth="1" min="7" max="7" width="21.13"/>
    <col customWidth="1" min="8" max="8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8</v>
      </c>
      <c r="B2" s="5" t="s">
        <v>9</v>
      </c>
      <c r="C2" s="5" t="s">
        <v>10</v>
      </c>
      <c r="D2" s="5" t="s">
        <v>11</v>
      </c>
      <c r="E2" s="5">
        <v>524.0</v>
      </c>
      <c r="F2" s="5">
        <v>86.0</v>
      </c>
      <c r="G2" s="6">
        <v>448129.25</v>
      </c>
      <c r="H2" s="6">
        <v>5210.81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 t="s">
        <v>12</v>
      </c>
      <c r="B3" s="5" t="s">
        <v>13</v>
      </c>
      <c r="C3" s="5" t="s">
        <v>14</v>
      </c>
      <c r="D3" s="5" t="s">
        <v>15</v>
      </c>
      <c r="E3" s="5">
        <v>703.0</v>
      </c>
      <c r="F3" s="5">
        <v>78.0</v>
      </c>
      <c r="G3" s="6">
        <v>399596.41</v>
      </c>
      <c r="H3" s="6">
        <v>5123.03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 t="s">
        <v>16</v>
      </c>
      <c r="B4" s="5" t="s">
        <v>17</v>
      </c>
      <c r="C4" s="5" t="s">
        <v>18</v>
      </c>
      <c r="D4" s="5" t="s">
        <v>19</v>
      </c>
      <c r="E4" s="5">
        <v>547.0</v>
      </c>
      <c r="F4" s="5">
        <v>71.0</v>
      </c>
      <c r="G4" s="6">
        <v>381630.08</v>
      </c>
      <c r="H4" s="6">
        <v>5375.07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 t="s">
        <v>20</v>
      </c>
      <c r="B5" s="5" t="s">
        <v>21</v>
      </c>
      <c r="C5" s="5" t="s">
        <v>22</v>
      </c>
      <c r="D5" s="5" t="s">
        <v>23</v>
      </c>
      <c r="E5" s="5">
        <v>335.0</v>
      </c>
      <c r="F5" s="5">
        <v>73.0</v>
      </c>
      <c r="G5" s="6">
        <v>369434.86</v>
      </c>
      <c r="H5" s="6">
        <v>5060.75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 t="s">
        <v>24</v>
      </c>
      <c r="B6" s="5" t="s">
        <v>25</v>
      </c>
      <c r="C6" s="5" t="s">
        <v>26</v>
      </c>
      <c r="D6" s="5" t="s">
        <v>27</v>
      </c>
      <c r="E6" s="5">
        <v>594.0</v>
      </c>
      <c r="F6" s="5">
        <v>76.0</v>
      </c>
      <c r="G6" s="6">
        <v>366989.68</v>
      </c>
      <c r="H6" s="6">
        <v>4828.81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 t="s">
        <v>28</v>
      </c>
      <c r="B7" s="5" t="s">
        <v>29</v>
      </c>
      <c r="C7" s="5" t="s">
        <v>30</v>
      </c>
      <c r="D7" s="5" t="s">
        <v>31</v>
      </c>
      <c r="E7" s="5">
        <v>532.0</v>
      </c>
      <c r="F7" s="5">
        <v>68.0</v>
      </c>
      <c r="G7" s="6">
        <v>366914.87</v>
      </c>
      <c r="H7" s="6">
        <v>5395.81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 t="s">
        <v>32</v>
      </c>
      <c r="B8" s="5" t="s">
        <v>33</v>
      </c>
      <c r="C8" s="5" t="s">
        <v>34</v>
      </c>
      <c r="D8" s="5" t="s">
        <v>35</v>
      </c>
      <c r="E8" s="5">
        <v>508.0</v>
      </c>
      <c r="F8" s="5">
        <v>68.0</v>
      </c>
      <c r="G8" s="6">
        <v>366292.52</v>
      </c>
      <c r="H8" s="6">
        <v>5386.65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 t="s">
        <v>36</v>
      </c>
      <c r="B9" s="5" t="s">
        <v>37</v>
      </c>
      <c r="C9" s="5" t="s">
        <v>38</v>
      </c>
      <c r="D9" s="5" t="s">
        <v>39</v>
      </c>
      <c r="E9" s="5">
        <v>812.0</v>
      </c>
      <c r="F9" s="5">
        <v>64.0</v>
      </c>
      <c r="G9" s="6">
        <v>359580.48</v>
      </c>
      <c r="H9" s="6">
        <v>5618.45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 t="s">
        <v>40</v>
      </c>
      <c r="B10" s="5" t="s">
        <v>41</v>
      </c>
      <c r="C10" s="5" t="s">
        <v>42</v>
      </c>
      <c r="D10" s="5" t="s">
        <v>43</v>
      </c>
      <c r="E10" s="5">
        <v>649.0</v>
      </c>
      <c r="F10" s="5">
        <v>68.0</v>
      </c>
      <c r="G10" s="6">
        <v>359371.49</v>
      </c>
      <c r="H10" s="6">
        <v>5284.87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 t="s">
        <v>44</v>
      </c>
      <c r="B11" s="5" t="s">
        <v>45</v>
      </c>
      <c r="C11" s="5" t="s">
        <v>46</v>
      </c>
      <c r="D11" s="5" t="s">
        <v>47</v>
      </c>
      <c r="E11" s="5">
        <v>319.0</v>
      </c>
      <c r="F11" s="5">
        <v>70.0</v>
      </c>
      <c r="G11" s="6">
        <v>356854.03</v>
      </c>
      <c r="H11" s="6">
        <v>5097.91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8"/>
      <c r="H12" s="8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"/>
      <c r="B13" s="7"/>
      <c r="C13" s="7"/>
      <c r="D13" s="7"/>
      <c r="E13" s="7"/>
      <c r="F13" s="7"/>
      <c r="G13" s="8"/>
      <c r="H13" s="8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8"/>
      <c r="H14" s="8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/>
      <c r="B15" s="7"/>
      <c r="C15" s="7"/>
      <c r="D15" s="7"/>
      <c r="E15" s="7"/>
      <c r="F15" s="7"/>
      <c r="G15" s="8"/>
      <c r="H15" s="8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9"/>
      <c r="B16" s="7"/>
      <c r="C16" s="7"/>
      <c r="D16" s="7"/>
      <c r="E16" s="7"/>
      <c r="F16" s="7"/>
      <c r="G16" s="8"/>
      <c r="H16" s="8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8"/>
      <c r="H17" s="8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/>
      <c r="B18" s="7"/>
      <c r="C18" s="7"/>
      <c r="D18" s="7"/>
      <c r="E18" s="7"/>
      <c r="F18" s="7"/>
      <c r="G18" s="8"/>
      <c r="H18" s="8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9"/>
      <c r="B19" s="7"/>
      <c r="C19" s="7"/>
      <c r="D19" s="7"/>
      <c r="E19" s="7"/>
      <c r="F19" s="7"/>
      <c r="G19" s="8"/>
      <c r="H19" s="8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8"/>
      <c r="H20" s="8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8"/>
      <c r="G21" s="8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>
      <c r="A22" s="7"/>
      <c r="B22" s="7"/>
      <c r="C22" s="7"/>
      <c r="D22" s="7"/>
      <c r="E22" s="7"/>
      <c r="F22" s="8"/>
      <c r="G22" s="8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>
      <c r="A23" s="7"/>
      <c r="B23" s="7"/>
      <c r="C23" s="7"/>
      <c r="D23" s="7"/>
      <c r="E23" s="7"/>
      <c r="F23" s="7"/>
      <c r="G23" s="8"/>
      <c r="H23" s="8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8"/>
      <c r="H24" s="8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8"/>
      <c r="H25" s="8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8"/>
      <c r="H26" s="8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8"/>
      <c r="H28" s="8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8"/>
      <c r="H29" s="8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8"/>
      <c r="H30" s="8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8"/>
      <c r="H31" s="8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8"/>
      <c r="H33" s="8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8"/>
      <c r="H34" s="8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8"/>
      <c r="H35" s="8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8"/>
      <c r="H36" s="8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8"/>
      <c r="H37" s="8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8"/>
      <c r="H38" s="8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8"/>
      <c r="H39" s="8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8"/>
      <c r="H40" s="8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8"/>
      <c r="H41" s="8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8"/>
      <c r="H42" s="8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8"/>
      <c r="H43" s="8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8"/>
      <c r="H44" s="8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8"/>
      <c r="H45" s="8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8"/>
      <c r="H46" s="8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8"/>
      <c r="H47" s="8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8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8"/>
      <c r="H49" s="8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8"/>
      <c r="H50" s="8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8"/>
      <c r="H51" s="8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8"/>
      <c r="H52" s="8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8"/>
      <c r="H53" s="8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8"/>
      <c r="H54" s="8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8"/>
      <c r="H55" s="8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8"/>
      <c r="H56" s="8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8"/>
      <c r="H57" s="8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8"/>
      <c r="H58" s="8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8"/>
      <c r="H59" s="8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8"/>
      <c r="H60" s="8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8"/>
      <c r="H61" s="8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8"/>
      <c r="H62" s="8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8"/>
      <c r="H63" s="8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8"/>
      <c r="H64" s="8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8"/>
      <c r="H65" s="8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8"/>
      <c r="H66" s="8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8"/>
      <c r="H67" s="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8"/>
      <c r="H68" s="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8"/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8"/>
      <c r="H70" s="8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8"/>
      <c r="H71" s="8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8"/>
      <c r="H72" s="8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8"/>
      <c r="H73" s="8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8"/>
      <c r="H74" s="8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8"/>
      <c r="H75" s="8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8"/>
      <c r="H76" s="8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8"/>
      <c r="H77" s="8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8"/>
      <c r="H78" s="8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8"/>
      <c r="H79" s="8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8"/>
      <c r="H80" s="8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8"/>
      <c r="H81" s="8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8"/>
      <c r="H82" s="8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8"/>
      <c r="H83" s="8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8"/>
      <c r="H84" s="8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8"/>
      <c r="H85" s="8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8"/>
      <c r="H86" s="8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8"/>
      <c r="H87" s="8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8"/>
      <c r="H88" s="8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8"/>
      <c r="H89" s="8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8"/>
      <c r="H90" s="8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8"/>
      <c r="H91" s="8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8"/>
      <c r="H92" s="8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8"/>
      <c r="H93" s="8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8"/>
      <c r="H94" s="8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8"/>
      <c r="H95" s="8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8"/>
      <c r="H96" s="8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8"/>
      <c r="H97" s="8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8"/>
      <c r="H98" s="8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8"/>
      <c r="H99" s="8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8"/>
      <c r="H100" s="8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8"/>
      <c r="H101" s="8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8"/>
      <c r="H102" s="8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8"/>
      <c r="H103" s="8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8"/>
      <c r="H104" s="8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8"/>
      <c r="H105" s="8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8"/>
      <c r="H106" s="8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8"/>
      <c r="H107" s="8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8"/>
      <c r="H108" s="8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8"/>
      <c r="H109" s="8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8"/>
      <c r="H110" s="8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8"/>
      <c r="H111" s="8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8"/>
      <c r="H112" s="8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8"/>
      <c r="H113" s="8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8"/>
      <c r="H114" s="8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8"/>
      <c r="H115" s="8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8"/>
      <c r="H116" s="8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8"/>
      <c r="H117" s="8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8"/>
      <c r="H118" s="8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8"/>
      <c r="H119" s="8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8"/>
      <c r="H120" s="8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8"/>
      <c r="H121" s="8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8"/>
      <c r="H122" s="8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8"/>
      <c r="H123" s="8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8"/>
      <c r="H124" s="8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8"/>
      <c r="H125" s="8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8"/>
      <c r="H126" s="8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8"/>
      <c r="H127" s="8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8"/>
      <c r="H128" s="8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8"/>
      <c r="H129" s="8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8"/>
      <c r="H130" s="8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8"/>
      <c r="H131" s="8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8"/>
      <c r="H132" s="8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8"/>
      <c r="H133" s="8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8"/>
      <c r="H134" s="8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8"/>
      <c r="H135" s="8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8"/>
      <c r="H136" s="8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8"/>
      <c r="H137" s="8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8"/>
      <c r="H138" s="8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8"/>
      <c r="H139" s="8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8"/>
      <c r="H140" s="8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8"/>
      <c r="H141" s="8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8"/>
      <c r="H142" s="8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8"/>
      <c r="H143" s="8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8"/>
      <c r="H144" s="8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8"/>
      <c r="H145" s="8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8"/>
      <c r="H146" s="8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8"/>
      <c r="H147" s="8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8"/>
      <c r="H148" s="8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8"/>
      <c r="H149" s="8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8"/>
      <c r="H150" s="8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8"/>
      <c r="H151" s="8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8"/>
      <c r="H152" s="8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8"/>
      <c r="H153" s="8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8"/>
      <c r="H154" s="8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8"/>
      <c r="H155" s="8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8"/>
      <c r="H156" s="8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8"/>
      <c r="H157" s="8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8"/>
      <c r="H158" s="8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8"/>
      <c r="H159" s="8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8"/>
      <c r="H160" s="8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8"/>
      <c r="H161" s="8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8"/>
      <c r="H162" s="8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8"/>
      <c r="H163" s="8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8"/>
      <c r="H164" s="8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8"/>
      <c r="H165" s="8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8"/>
      <c r="H166" s="8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8"/>
      <c r="H167" s="8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8"/>
      <c r="H168" s="8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8"/>
      <c r="H169" s="8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8"/>
      <c r="H170" s="8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8"/>
      <c r="H171" s="8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8"/>
      <c r="H172" s="8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8"/>
      <c r="H173" s="8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8"/>
      <c r="H174" s="8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8"/>
      <c r="H175" s="8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8"/>
      <c r="H176" s="8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8"/>
      <c r="H177" s="8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8"/>
      <c r="H178" s="8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8"/>
      <c r="H179" s="8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8"/>
      <c r="H180" s="8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8"/>
      <c r="H181" s="8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8"/>
      <c r="H182" s="8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8"/>
      <c r="H183" s="8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8"/>
      <c r="H184" s="8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8"/>
      <c r="H185" s="8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8"/>
      <c r="H186" s="8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8"/>
      <c r="H187" s="8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8"/>
      <c r="H188" s="8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8"/>
      <c r="H189" s="8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8"/>
      <c r="H190" s="8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8"/>
      <c r="H191" s="8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8"/>
      <c r="H192" s="8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8"/>
      <c r="H193" s="8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8"/>
      <c r="H194" s="8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8"/>
      <c r="H195" s="8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8"/>
      <c r="H196" s="8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8"/>
      <c r="H197" s="8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8"/>
      <c r="H198" s="8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8"/>
      <c r="H199" s="8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8"/>
      <c r="H200" s="8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8"/>
      <c r="H201" s="8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8"/>
      <c r="H202" s="8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8"/>
      <c r="H203" s="8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8"/>
      <c r="H204" s="8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8"/>
      <c r="H205" s="8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8"/>
      <c r="H206" s="8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8"/>
      <c r="H207" s="8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8"/>
      <c r="H208" s="8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8"/>
      <c r="H209" s="8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8"/>
      <c r="H210" s="8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8"/>
      <c r="H211" s="8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8"/>
      <c r="H212" s="8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8"/>
      <c r="H213" s="8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8"/>
      <c r="H214" s="8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8"/>
      <c r="H215" s="8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8"/>
      <c r="H216" s="8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8"/>
      <c r="H217" s="8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8"/>
      <c r="H218" s="8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8"/>
      <c r="H219" s="8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8"/>
      <c r="H220" s="8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8"/>
      <c r="H221" s="8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8"/>
      <c r="H222" s="8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8"/>
      <c r="H223" s="8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8"/>
      <c r="H224" s="8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8"/>
      <c r="H225" s="8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8"/>
      <c r="H226" s="8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8"/>
      <c r="H227" s="8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8"/>
      <c r="H228" s="8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8"/>
      <c r="H229" s="8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8"/>
      <c r="H230" s="8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8"/>
      <c r="H231" s="8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8"/>
      <c r="H232" s="8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8"/>
      <c r="H233" s="8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8"/>
      <c r="H234" s="8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8"/>
      <c r="H235" s="8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8"/>
      <c r="H236" s="8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8"/>
      <c r="H237" s="8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8"/>
      <c r="H238" s="8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8"/>
      <c r="H239" s="8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8"/>
      <c r="H240" s="8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8"/>
      <c r="H241" s="8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8"/>
      <c r="H242" s="8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8"/>
      <c r="H243" s="8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8"/>
      <c r="H244" s="8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8"/>
      <c r="H245" s="8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8"/>
      <c r="H246" s="8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8"/>
      <c r="H247" s="8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8"/>
      <c r="H248" s="8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8"/>
      <c r="H249" s="8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8"/>
      <c r="H250" s="8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8"/>
      <c r="H251" s="8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8"/>
      <c r="H252" s="8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8"/>
      <c r="H253" s="8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8"/>
      <c r="H254" s="8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8"/>
      <c r="H255" s="8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8"/>
      <c r="H256" s="8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8"/>
      <c r="H257" s="8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8"/>
      <c r="H258" s="8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8"/>
      <c r="H259" s="8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8"/>
      <c r="H260" s="8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8"/>
      <c r="H261" s="8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8"/>
      <c r="H262" s="8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8"/>
      <c r="H263" s="8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8"/>
      <c r="H264" s="8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8"/>
      <c r="H265" s="8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8"/>
      <c r="H266" s="8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8"/>
      <c r="H267" s="8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8"/>
      <c r="H268" s="8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8"/>
      <c r="H269" s="8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8"/>
      <c r="H270" s="8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8"/>
      <c r="H271" s="8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8"/>
      <c r="H272" s="8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8"/>
      <c r="H273" s="8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8"/>
      <c r="H274" s="8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8"/>
      <c r="H275" s="8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8"/>
      <c r="H276" s="8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8"/>
      <c r="H277" s="8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8"/>
      <c r="H278" s="8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8"/>
      <c r="H279" s="8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8"/>
      <c r="H280" s="8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8"/>
      <c r="H281" s="8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8"/>
      <c r="H282" s="8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8"/>
      <c r="H283" s="8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8"/>
      <c r="H284" s="8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8"/>
      <c r="H285" s="8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8"/>
      <c r="H286" s="8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8"/>
      <c r="H287" s="8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8"/>
      <c r="H288" s="8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8"/>
      <c r="H289" s="8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8"/>
      <c r="H290" s="8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8"/>
      <c r="H291" s="8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8"/>
      <c r="H292" s="8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8"/>
      <c r="H293" s="8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8"/>
      <c r="H294" s="8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8"/>
      <c r="H295" s="8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8"/>
      <c r="H296" s="8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8"/>
      <c r="H297" s="8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8"/>
      <c r="H298" s="8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8"/>
      <c r="H299" s="8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8"/>
      <c r="H300" s="8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8"/>
      <c r="H301" s="8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8"/>
      <c r="H302" s="8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8"/>
      <c r="H303" s="8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8"/>
      <c r="H304" s="8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8"/>
      <c r="H305" s="8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8"/>
      <c r="H306" s="8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8"/>
      <c r="H307" s="8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8"/>
      <c r="H308" s="8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8"/>
      <c r="H309" s="8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8"/>
      <c r="H310" s="8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8"/>
      <c r="H311" s="8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8"/>
      <c r="H312" s="8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8"/>
      <c r="H313" s="8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8"/>
      <c r="H314" s="8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8"/>
      <c r="H315" s="8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8"/>
      <c r="H316" s="8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8"/>
      <c r="H317" s="8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8"/>
      <c r="H318" s="8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8"/>
      <c r="H319" s="8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8"/>
      <c r="H320" s="8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8"/>
      <c r="H321" s="8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8"/>
      <c r="H322" s="8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8"/>
      <c r="H323" s="8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8"/>
      <c r="H324" s="8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8"/>
      <c r="H325" s="8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8"/>
      <c r="H326" s="8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8"/>
      <c r="H327" s="8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8"/>
      <c r="H328" s="8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8"/>
      <c r="H329" s="8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8"/>
      <c r="H330" s="8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8"/>
      <c r="H331" s="8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8"/>
      <c r="H332" s="8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8"/>
      <c r="H333" s="8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8"/>
      <c r="H334" s="8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8"/>
      <c r="H335" s="8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8"/>
      <c r="H336" s="8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8"/>
      <c r="H337" s="8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8"/>
      <c r="H338" s="8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8"/>
      <c r="H339" s="8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8"/>
      <c r="H340" s="8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8"/>
      <c r="H341" s="8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8"/>
      <c r="H342" s="8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8"/>
      <c r="H343" s="8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8"/>
      <c r="H344" s="8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8"/>
      <c r="H345" s="8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8"/>
      <c r="H346" s="8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8"/>
      <c r="H347" s="8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8"/>
      <c r="H348" s="8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8"/>
      <c r="H349" s="8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8"/>
      <c r="H350" s="8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8"/>
      <c r="H351" s="8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8"/>
      <c r="H352" s="8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8"/>
      <c r="H353" s="8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8"/>
      <c r="H354" s="8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8"/>
      <c r="H355" s="8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8"/>
      <c r="H356" s="8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8"/>
      <c r="H357" s="8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8"/>
      <c r="H358" s="8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8"/>
      <c r="H359" s="8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8"/>
      <c r="H360" s="8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8"/>
      <c r="H361" s="8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8"/>
      <c r="H362" s="8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8"/>
      <c r="H363" s="8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8"/>
      <c r="H364" s="8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8"/>
      <c r="H365" s="8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8"/>
      <c r="H366" s="8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8"/>
      <c r="H367" s="8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8"/>
      <c r="H368" s="8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8"/>
      <c r="H369" s="8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8"/>
      <c r="H370" s="8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8"/>
      <c r="H371" s="8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8"/>
      <c r="H372" s="8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8"/>
      <c r="H373" s="8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8"/>
      <c r="H374" s="8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8"/>
      <c r="H375" s="8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8"/>
      <c r="H376" s="8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8"/>
      <c r="H377" s="8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8"/>
      <c r="H378" s="8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8"/>
      <c r="H379" s="8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8"/>
      <c r="H380" s="8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8"/>
      <c r="H381" s="8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8"/>
      <c r="H382" s="8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8"/>
      <c r="H383" s="8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8"/>
      <c r="H384" s="8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8"/>
      <c r="H385" s="8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8"/>
      <c r="H386" s="8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8"/>
      <c r="H387" s="8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8"/>
      <c r="H388" s="8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8"/>
      <c r="H389" s="8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8"/>
      <c r="H390" s="8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8"/>
      <c r="H391" s="8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8"/>
      <c r="H392" s="8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8"/>
      <c r="H393" s="8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8"/>
      <c r="H394" s="8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8"/>
      <c r="H395" s="8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8"/>
      <c r="H396" s="8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8"/>
      <c r="H397" s="8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8"/>
      <c r="H398" s="8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8"/>
      <c r="H399" s="8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8"/>
      <c r="H400" s="8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8"/>
      <c r="H401" s="8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8"/>
      <c r="H402" s="8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8"/>
      <c r="H403" s="8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8"/>
      <c r="H404" s="8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8"/>
      <c r="H405" s="8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8"/>
      <c r="H406" s="8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8"/>
      <c r="H407" s="8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8"/>
      <c r="H408" s="8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8"/>
      <c r="H409" s="8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8"/>
      <c r="H410" s="8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8"/>
      <c r="H411" s="8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8"/>
      <c r="H412" s="8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8"/>
      <c r="H413" s="8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8"/>
      <c r="H414" s="8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8"/>
      <c r="H415" s="8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8"/>
      <c r="H416" s="8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8"/>
      <c r="H417" s="8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8"/>
      <c r="H418" s="8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8"/>
      <c r="H419" s="8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8"/>
      <c r="H420" s="8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8"/>
      <c r="H421" s="8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8"/>
      <c r="H422" s="8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8"/>
      <c r="H423" s="8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8"/>
      <c r="H424" s="8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8"/>
      <c r="H425" s="8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8"/>
      <c r="H426" s="8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8"/>
      <c r="H427" s="8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8"/>
      <c r="H428" s="8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8"/>
      <c r="H429" s="8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8"/>
      <c r="H430" s="8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8"/>
      <c r="H431" s="8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8"/>
      <c r="H432" s="8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8"/>
      <c r="H433" s="8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8"/>
      <c r="H434" s="8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8"/>
      <c r="H435" s="8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8"/>
      <c r="H436" s="8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8"/>
      <c r="H437" s="8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8"/>
      <c r="H438" s="8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8"/>
      <c r="H439" s="8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8"/>
      <c r="H440" s="8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8"/>
      <c r="H441" s="8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8"/>
      <c r="H442" s="8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8"/>
      <c r="H443" s="8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8"/>
      <c r="H444" s="8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8"/>
      <c r="H445" s="8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8"/>
      <c r="H446" s="8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8"/>
      <c r="H447" s="8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8"/>
      <c r="H448" s="8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8"/>
      <c r="H449" s="8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8"/>
      <c r="H450" s="8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8"/>
      <c r="H451" s="8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8"/>
      <c r="H452" s="8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8"/>
      <c r="H453" s="8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8"/>
      <c r="H454" s="8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8"/>
      <c r="H455" s="8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8"/>
      <c r="H456" s="8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8"/>
      <c r="H457" s="8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8"/>
      <c r="H458" s="8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8"/>
      <c r="H459" s="8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8"/>
      <c r="H460" s="8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8"/>
      <c r="H461" s="8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8"/>
      <c r="H462" s="8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8"/>
      <c r="H463" s="8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8"/>
      <c r="H464" s="8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8"/>
      <c r="H465" s="8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8"/>
      <c r="H466" s="8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8"/>
      <c r="H467" s="8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8"/>
      <c r="H468" s="8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8"/>
      <c r="H469" s="8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8"/>
      <c r="H470" s="8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8"/>
      <c r="H471" s="8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8"/>
      <c r="H472" s="8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8"/>
      <c r="H473" s="8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8"/>
      <c r="H474" s="8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8"/>
      <c r="H475" s="8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8"/>
      <c r="H476" s="8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8"/>
      <c r="H477" s="8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8"/>
      <c r="H478" s="8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8"/>
      <c r="H479" s="8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8"/>
      <c r="H480" s="8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8"/>
      <c r="H481" s="8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8"/>
      <c r="H482" s="8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8"/>
      <c r="H483" s="8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8"/>
      <c r="H484" s="8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8"/>
      <c r="H485" s="8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8"/>
      <c r="H486" s="8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8"/>
      <c r="H487" s="8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8"/>
      <c r="H488" s="8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8"/>
      <c r="H489" s="8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8"/>
      <c r="H490" s="8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8"/>
      <c r="H491" s="8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8"/>
      <c r="H492" s="8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8"/>
      <c r="H493" s="8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8"/>
      <c r="H494" s="8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8"/>
      <c r="H495" s="8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8"/>
      <c r="H496" s="8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8"/>
      <c r="H497" s="8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8"/>
      <c r="H498" s="8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8"/>
      <c r="H499" s="8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8"/>
      <c r="H500" s="8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8"/>
      <c r="H501" s="8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8"/>
      <c r="H502" s="8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8"/>
      <c r="H503" s="8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8"/>
      <c r="H504" s="8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8"/>
      <c r="H505" s="8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8"/>
      <c r="H506" s="8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8"/>
      <c r="H507" s="8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8"/>
      <c r="H508" s="8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8"/>
      <c r="H509" s="8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8"/>
      <c r="H510" s="8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8"/>
      <c r="H511" s="8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8"/>
      <c r="H512" s="8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8"/>
      <c r="H513" s="8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8"/>
      <c r="H514" s="8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8"/>
      <c r="H515" s="8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8"/>
      <c r="H516" s="8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8"/>
      <c r="H517" s="8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8"/>
      <c r="H518" s="8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8"/>
      <c r="H519" s="8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8"/>
      <c r="H520" s="8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8"/>
      <c r="H521" s="8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8"/>
      <c r="H522" s="8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8"/>
      <c r="H523" s="8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8"/>
      <c r="H524" s="8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8"/>
      <c r="H525" s="8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8"/>
      <c r="H526" s="8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8"/>
      <c r="H527" s="8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8"/>
      <c r="H528" s="8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8"/>
      <c r="H529" s="8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8"/>
      <c r="H530" s="8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8"/>
      <c r="H531" s="8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8"/>
      <c r="H532" s="8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8"/>
      <c r="H533" s="8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8"/>
      <c r="H534" s="8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8"/>
      <c r="H535" s="8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8"/>
      <c r="H536" s="8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8"/>
      <c r="H537" s="8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8"/>
      <c r="H538" s="8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8"/>
      <c r="H539" s="8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8"/>
      <c r="H540" s="8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8"/>
      <c r="H541" s="8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8"/>
      <c r="H542" s="8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8"/>
      <c r="H543" s="8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8"/>
      <c r="H544" s="8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8"/>
      <c r="H545" s="8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8"/>
      <c r="H546" s="8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8"/>
      <c r="H547" s="8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8"/>
      <c r="H548" s="8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8"/>
      <c r="H549" s="8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8"/>
      <c r="H550" s="8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8"/>
      <c r="H551" s="8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8"/>
      <c r="H552" s="8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8"/>
      <c r="H553" s="8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8"/>
      <c r="H554" s="8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8"/>
      <c r="H555" s="8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8"/>
      <c r="H556" s="8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8"/>
      <c r="H557" s="8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8"/>
      <c r="H558" s="8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8"/>
      <c r="H559" s="8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8"/>
      <c r="H560" s="8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8"/>
      <c r="H561" s="8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8"/>
      <c r="H562" s="8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8"/>
      <c r="H563" s="8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8"/>
      <c r="H564" s="8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8"/>
      <c r="H565" s="8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8"/>
      <c r="H566" s="8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8"/>
      <c r="H567" s="8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8"/>
      <c r="H568" s="8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8"/>
      <c r="H569" s="8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8"/>
      <c r="H570" s="8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8"/>
      <c r="H571" s="8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8"/>
      <c r="H572" s="8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8"/>
      <c r="H573" s="8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8"/>
      <c r="H574" s="8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8"/>
      <c r="H575" s="8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8"/>
      <c r="H576" s="8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8"/>
      <c r="H577" s="8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8"/>
      <c r="H578" s="8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8"/>
      <c r="H579" s="8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8"/>
      <c r="H580" s="8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8"/>
      <c r="H581" s="8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8"/>
      <c r="H582" s="8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8"/>
      <c r="H583" s="8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8"/>
      <c r="H584" s="8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8"/>
      <c r="H585" s="8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8"/>
      <c r="H586" s="8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8"/>
      <c r="H587" s="8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8"/>
      <c r="H588" s="8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8"/>
      <c r="H589" s="8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8"/>
      <c r="H590" s="8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8"/>
      <c r="H591" s="8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8"/>
      <c r="H592" s="8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8"/>
      <c r="H593" s="8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8"/>
      <c r="H594" s="8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8"/>
      <c r="H595" s="8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8"/>
      <c r="H596" s="8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8"/>
      <c r="H597" s="8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8"/>
      <c r="H598" s="8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8"/>
      <c r="H599" s="8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8"/>
      <c r="H600" s="8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8"/>
      <c r="H601" s="8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8"/>
      <c r="H602" s="8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8"/>
      <c r="H603" s="8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8"/>
      <c r="H604" s="8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8"/>
      <c r="H605" s="8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8"/>
      <c r="H606" s="8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8"/>
      <c r="H607" s="8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8"/>
      <c r="H608" s="8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8"/>
      <c r="H609" s="8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8"/>
      <c r="H610" s="8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8"/>
      <c r="H611" s="8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8"/>
      <c r="H612" s="8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8"/>
      <c r="H613" s="8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8"/>
      <c r="H614" s="8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8"/>
      <c r="H615" s="8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8"/>
      <c r="H616" s="8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8"/>
      <c r="H617" s="8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8"/>
      <c r="H618" s="8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8"/>
      <c r="H619" s="8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8"/>
      <c r="H620" s="8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8"/>
      <c r="H621" s="8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8"/>
      <c r="H622" s="8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8"/>
      <c r="H623" s="8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8"/>
      <c r="H624" s="8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8"/>
      <c r="H625" s="8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8"/>
      <c r="H626" s="8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8"/>
      <c r="H627" s="8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8"/>
      <c r="H628" s="8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8"/>
      <c r="H629" s="8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8"/>
      <c r="H630" s="8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8"/>
      <c r="H631" s="8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8"/>
      <c r="H632" s="8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8"/>
      <c r="H633" s="8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8"/>
      <c r="H634" s="8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8"/>
      <c r="H635" s="8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8"/>
      <c r="H636" s="8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8"/>
      <c r="H637" s="8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8"/>
      <c r="H638" s="8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8"/>
      <c r="H639" s="8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8"/>
      <c r="H640" s="8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8"/>
      <c r="H641" s="8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8"/>
      <c r="H642" s="8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8"/>
      <c r="H643" s="8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8"/>
      <c r="H644" s="8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8"/>
      <c r="H645" s="8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8"/>
      <c r="H646" s="8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8"/>
      <c r="H647" s="8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8"/>
      <c r="H648" s="8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8"/>
      <c r="H649" s="8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8"/>
      <c r="H650" s="8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8"/>
      <c r="H651" s="8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8"/>
      <c r="H652" s="8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8"/>
      <c r="H653" s="8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8"/>
      <c r="H654" s="8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8"/>
      <c r="H655" s="8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8"/>
      <c r="H656" s="8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8"/>
      <c r="H657" s="8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8"/>
      <c r="H658" s="8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8"/>
      <c r="H659" s="8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8"/>
      <c r="H660" s="8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8"/>
      <c r="H661" s="8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8"/>
      <c r="H662" s="8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8"/>
      <c r="H663" s="8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8"/>
      <c r="H664" s="8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8"/>
      <c r="H665" s="8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8"/>
      <c r="H666" s="8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8"/>
      <c r="H667" s="8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8"/>
      <c r="H668" s="8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8"/>
      <c r="H669" s="8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8"/>
      <c r="H670" s="8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8"/>
      <c r="H671" s="8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8"/>
      <c r="H672" s="8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8"/>
      <c r="H673" s="8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8"/>
      <c r="H674" s="8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8"/>
      <c r="H675" s="8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8"/>
      <c r="H676" s="8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8"/>
      <c r="H677" s="8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8"/>
      <c r="H678" s="8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8"/>
      <c r="H679" s="8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8"/>
      <c r="H680" s="8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8"/>
      <c r="H681" s="8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8"/>
      <c r="H682" s="8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8"/>
      <c r="H683" s="8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8"/>
      <c r="H684" s="8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8"/>
      <c r="H685" s="8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8"/>
      <c r="H686" s="8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8"/>
      <c r="H687" s="8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8"/>
      <c r="H688" s="8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8"/>
      <c r="H689" s="8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8"/>
      <c r="H690" s="8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8"/>
      <c r="H691" s="8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8"/>
      <c r="H692" s="8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8"/>
      <c r="H693" s="8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8"/>
      <c r="H694" s="8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8"/>
      <c r="H695" s="8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8"/>
      <c r="H696" s="8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8"/>
      <c r="H697" s="8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8"/>
      <c r="H698" s="8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8"/>
      <c r="H699" s="8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8"/>
      <c r="H700" s="8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8"/>
      <c r="H701" s="8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8"/>
      <c r="H702" s="8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8"/>
      <c r="H703" s="8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8"/>
      <c r="H704" s="8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8"/>
      <c r="H705" s="8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8"/>
      <c r="H706" s="8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8"/>
      <c r="H707" s="8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8"/>
      <c r="H708" s="8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8"/>
      <c r="H709" s="8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8"/>
      <c r="H710" s="8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8"/>
      <c r="H711" s="8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8"/>
      <c r="H712" s="8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8"/>
      <c r="H713" s="8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8"/>
      <c r="H714" s="8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8"/>
      <c r="H715" s="8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8"/>
      <c r="H716" s="8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8"/>
      <c r="H717" s="8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8"/>
      <c r="H718" s="8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8"/>
      <c r="H719" s="8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8"/>
      <c r="H720" s="8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8"/>
      <c r="H721" s="8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8"/>
      <c r="H722" s="8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8"/>
      <c r="H723" s="8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8"/>
      <c r="H724" s="8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8"/>
      <c r="H725" s="8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8"/>
      <c r="H726" s="8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8"/>
      <c r="H727" s="8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8"/>
      <c r="H728" s="8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8"/>
      <c r="H729" s="8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8"/>
      <c r="H730" s="8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8"/>
      <c r="H731" s="8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8"/>
      <c r="H732" s="8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8"/>
      <c r="H733" s="8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8"/>
      <c r="H734" s="8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8"/>
      <c r="H735" s="8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8"/>
      <c r="H736" s="8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8"/>
      <c r="H737" s="8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8"/>
      <c r="H738" s="8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8"/>
      <c r="H739" s="8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8"/>
      <c r="H740" s="8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8"/>
      <c r="H741" s="8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8"/>
      <c r="H742" s="8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8"/>
      <c r="H743" s="8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8"/>
      <c r="H744" s="8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8"/>
      <c r="H745" s="8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8"/>
      <c r="H746" s="8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8"/>
      <c r="H747" s="8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8"/>
      <c r="H748" s="8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8"/>
      <c r="H749" s="8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8"/>
      <c r="H750" s="8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8"/>
      <c r="H751" s="8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8"/>
      <c r="H752" s="8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8"/>
      <c r="H753" s="8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8"/>
      <c r="H754" s="8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8"/>
      <c r="H755" s="8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8"/>
      <c r="H756" s="8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8"/>
      <c r="H757" s="8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8"/>
      <c r="H758" s="8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8"/>
      <c r="H759" s="8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8"/>
      <c r="H760" s="8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8"/>
      <c r="H761" s="8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8"/>
      <c r="H762" s="8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8"/>
      <c r="H763" s="8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8"/>
      <c r="H764" s="8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8"/>
      <c r="H765" s="8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8"/>
      <c r="H766" s="8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8"/>
      <c r="H767" s="8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8"/>
      <c r="H768" s="8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8"/>
      <c r="H769" s="8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8"/>
      <c r="H770" s="8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8"/>
      <c r="H771" s="8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8"/>
      <c r="H772" s="8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8"/>
      <c r="H773" s="8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8"/>
      <c r="H774" s="8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8"/>
      <c r="H775" s="8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8"/>
      <c r="H776" s="8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8"/>
      <c r="H777" s="8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8"/>
      <c r="H778" s="8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8"/>
      <c r="H779" s="8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8"/>
      <c r="H780" s="8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8"/>
      <c r="H781" s="8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8"/>
      <c r="H782" s="8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8"/>
      <c r="H783" s="8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8"/>
      <c r="H784" s="8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8"/>
      <c r="H785" s="8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8"/>
      <c r="H786" s="8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8"/>
      <c r="H787" s="8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8"/>
      <c r="H788" s="8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8"/>
      <c r="H789" s="8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8"/>
      <c r="H790" s="8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8"/>
      <c r="H791" s="8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8"/>
      <c r="H792" s="8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8"/>
      <c r="H793" s="8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8"/>
      <c r="H794" s="8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8"/>
      <c r="H795" s="8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8"/>
      <c r="H796" s="8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8"/>
      <c r="H797" s="8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8"/>
      <c r="H798" s="8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8"/>
      <c r="H799" s="8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8"/>
      <c r="H800" s="8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8"/>
      <c r="H801" s="8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8"/>
      <c r="H802" s="8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8"/>
      <c r="H803" s="8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8"/>
      <c r="H804" s="8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8"/>
      <c r="H805" s="8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8"/>
      <c r="H806" s="8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8"/>
      <c r="H807" s="8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8"/>
      <c r="H808" s="8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8"/>
      <c r="H809" s="8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8"/>
      <c r="H810" s="8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8"/>
      <c r="H811" s="8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8"/>
      <c r="H812" s="8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8"/>
      <c r="H813" s="8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8"/>
      <c r="H814" s="8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8"/>
      <c r="H815" s="8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8"/>
      <c r="H816" s="8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8"/>
      <c r="H817" s="8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8"/>
      <c r="H818" s="8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8"/>
      <c r="H819" s="8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8"/>
      <c r="H820" s="8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8"/>
      <c r="H821" s="8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8"/>
      <c r="H822" s="8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8"/>
      <c r="H823" s="8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8"/>
      <c r="H824" s="8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8"/>
      <c r="H825" s="8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8"/>
      <c r="H826" s="8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8"/>
      <c r="H827" s="8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8"/>
      <c r="H828" s="8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8"/>
      <c r="H829" s="8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8"/>
      <c r="H830" s="8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8"/>
      <c r="H831" s="8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8"/>
      <c r="H832" s="8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8"/>
      <c r="H833" s="8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8"/>
      <c r="H834" s="8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8"/>
      <c r="H835" s="8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8"/>
      <c r="H836" s="8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8"/>
      <c r="H837" s="8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8"/>
      <c r="H838" s="8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8"/>
      <c r="H839" s="8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8"/>
      <c r="H840" s="8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8"/>
      <c r="H841" s="8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8"/>
      <c r="H842" s="8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8"/>
      <c r="H843" s="8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8"/>
      <c r="H844" s="8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8"/>
      <c r="H845" s="8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8"/>
      <c r="H846" s="8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8"/>
      <c r="H847" s="8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8"/>
      <c r="H848" s="8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8"/>
      <c r="H849" s="8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8"/>
      <c r="H850" s="8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8"/>
      <c r="H851" s="8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8"/>
      <c r="H852" s="8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8"/>
      <c r="H853" s="8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8"/>
      <c r="H854" s="8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8"/>
      <c r="H855" s="8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8"/>
      <c r="H856" s="8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8"/>
      <c r="H857" s="8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8"/>
      <c r="H858" s="8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8"/>
      <c r="H859" s="8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8"/>
      <c r="H860" s="8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8"/>
      <c r="H861" s="8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8"/>
      <c r="H862" s="8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8"/>
      <c r="H863" s="8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8"/>
      <c r="H864" s="8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8"/>
      <c r="H865" s="8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8"/>
      <c r="H866" s="8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8"/>
      <c r="H867" s="8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8"/>
      <c r="H868" s="8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8"/>
      <c r="H869" s="8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8"/>
      <c r="H870" s="8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8"/>
      <c r="H871" s="8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8"/>
      <c r="H872" s="8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8"/>
      <c r="H873" s="8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8"/>
      <c r="H874" s="8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8"/>
      <c r="H875" s="8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8"/>
      <c r="H876" s="8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8"/>
      <c r="H877" s="8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8"/>
      <c r="H878" s="8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8"/>
      <c r="H879" s="8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8"/>
      <c r="H880" s="8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8"/>
      <c r="H881" s="8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8"/>
      <c r="H882" s="8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8"/>
      <c r="H883" s="8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8"/>
      <c r="H884" s="8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8"/>
      <c r="H885" s="8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8"/>
      <c r="H886" s="8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8"/>
      <c r="H887" s="8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8"/>
      <c r="H888" s="8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8"/>
      <c r="H889" s="8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8"/>
      <c r="H890" s="8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8"/>
      <c r="H891" s="8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8"/>
      <c r="H892" s="8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8"/>
      <c r="H893" s="8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8"/>
      <c r="H894" s="8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8"/>
      <c r="H895" s="8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8"/>
      <c r="H896" s="8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8"/>
      <c r="H897" s="8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8"/>
      <c r="H898" s="8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8"/>
      <c r="H899" s="8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8"/>
      <c r="H900" s="8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8"/>
      <c r="H901" s="8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8"/>
      <c r="H902" s="8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8"/>
      <c r="H903" s="8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8"/>
      <c r="H904" s="8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8"/>
      <c r="H905" s="8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8"/>
      <c r="H906" s="8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8"/>
      <c r="H907" s="8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8"/>
      <c r="H908" s="8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8"/>
      <c r="H909" s="8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8"/>
      <c r="H910" s="8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8"/>
      <c r="H911" s="8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8"/>
      <c r="H912" s="8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8"/>
      <c r="H913" s="8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8"/>
      <c r="H914" s="8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8"/>
      <c r="H915" s="8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8"/>
      <c r="H916" s="8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8"/>
      <c r="H917" s="8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8"/>
      <c r="H918" s="8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8"/>
      <c r="H919" s="8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8"/>
      <c r="H920" s="8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8"/>
      <c r="H921" s="8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8"/>
      <c r="H922" s="8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8"/>
      <c r="H923" s="8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8"/>
      <c r="H924" s="8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8"/>
      <c r="H925" s="8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8"/>
      <c r="H926" s="8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8"/>
      <c r="H927" s="8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8"/>
      <c r="H928" s="8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8"/>
      <c r="H929" s="8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8"/>
      <c r="H930" s="8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8"/>
      <c r="H931" s="8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8"/>
      <c r="H932" s="8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8"/>
      <c r="H933" s="8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8"/>
      <c r="H934" s="8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8"/>
      <c r="H935" s="8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8"/>
      <c r="H936" s="8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8"/>
      <c r="H937" s="8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8"/>
      <c r="H938" s="8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8"/>
      <c r="H939" s="8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8"/>
      <c r="H940" s="8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8"/>
      <c r="H941" s="8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8"/>
      <c r="H942" s="8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8"/>
      <c r="H943" s="8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8"/>
      <c r="H944" s="8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8"/>
      <c r="H945" s="8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8"/>
      <c r="H946" s="8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8"/>
      <c r="H947" s="8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8"/>
      <c r="H948" s="8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8"/>
      <c r="H949" s="8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8"/>
      <c r="H950" s="8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8"/>
      <c r="H951" s="8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8"/>
      <c r="H952" s="8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8"/>
      <c r="H953" s="8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8"/>
      <c r="H954" s="8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8"/>
      <c r="H955" s="8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8"/>
      <c r="H956" s="8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8"/>
      <c r="H957" s="8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8"/>
      <c r="H958" s="8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8"/>
      <c r="H959" s="8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8"/>
      <c r="H960" s="8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8"/>
      <c r="H961" s="8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8"/>
      <c r="H962" s="8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8"/>
      <c r="H963" s="8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8"/>
      <c r="H964" s="8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8"/>
      <c r="H965" s="8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8"/>
      <c r="H966" s="8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8"/>
      <c r="H967" s="8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8"/>
      <c r="H968" s="8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8"/>
      <c r="H969" s="8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8"/>
      <c r="H970" s="8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8"/>
      <c r="H971" s="8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8"/>
      <c r="H972" s="8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8"/>
      <c r="H973" s="8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8"/>
      <c r="H974" s="8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8"/>
      <c r="H975" s="8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8"/>
      <c r="H976" s="8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8"/>
      <c r="H977" s="8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8"/>
      <c r="H978" s="8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8"/>
      <c r="H979" s="8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8"/>
      <c r="H980" s="8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8"/>
      <c r="H981" s="8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8"/>
      <c r="H982" s="8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8"/>
      <c r="H983" s="8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8"/>
      <c r="H984" s="8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8"/>
      <c r="H985" s="8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8"/>
      <c r="H986" s="8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8"/>
      <c r="H987" s="8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8"/>
      <c r="H988" s="8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8"/>
      <c r="H989" s="8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8"/>
      <c r="H990" s="8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8"/>
      <c r="H991" s="8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8"/>
      <c r="H992" s="8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8"/>
      <c r="H993" s="8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8"/>
      <c r="H994" s="8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8"/>
      <c r="H995" s="8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8"/>
      <c r="H996" s="8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8"/>
      <c r="H997" s="8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8"/>
      <c r="H998" s="8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8"/>
      <c r="H999" s="8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8"/>
      <c r="H1000" s="8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conditionalFormatting sqref="E1:E20 D21:D22 E23:E1000">
    <cfRule type="containsText" dxfId="4" priority="1" operator="containsText" text="&lt; 500">
      <formula>NOT(ISERROR(SEARCH(("&lt; 500"),(E1))))</formula>
    </cfRule>
  </conditionalFormatting>
  <conditionalFormatting sqref="E1:E20 D21:D22 E23:E1000">
    <cfRule type="containsText" dxfId="5" priority="2" operator="containsText" text="&gt; 500">
      <formula>NOT(ISERROR(SEARCH(("&gt; 500"),(E1))))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2.5"/>
    <col customWidth="1" min="3" max="3" width="14.0"/>
    <col customWidth="1" min="4" max="4" width="9.88"/>
    <col customWidth="1" min="5" max="5" width="17.0"/>
    <col customWidth="1" min="6" max="6" width="13.88"/>
    <col customWidth="1" min="7" max="7" width="19.13"/>
    <col customWidth="1" min="8" max="8" width="18.75"/>
    <col customWidth="1" min="9" max="9" width="8.63"/>
    <col customWidth="1" min="10" max="10" width="8.38"/>
    <col customWidth="1" min="11" max="11" width="13.75"/>
  </cols>
  <sheetData>
    <row r="1">
      <c r="A1" s="10" t="s">
        <v>0</v>
      </c>
      <c r="B1" s="10" t="s">
        <v>48</v>
      </c>
      <c r="C1" s="10" t="s">
        <v>3</v>
      </c>
      <c r="D1" s="10" t="s">
        <v>4</v>
      </c>
      <c r="E1" s="10" t="s">
        <v>49</v>
      </c>
      <c r="F1" s="10" t="s">
        <v>5</v>
      </c>
      <c r="G1" s="11" t="s">
        <v>6</v>
      </c>
      <c r="H1" s="11" t="s">
        <v>7</v>
      </c>
      <c r="I1" s="10" t="s">
        <v>1</v>
      </c>
      <c r="J1" s="10" t="s">
        <v>2</v>
      </c>
      <c r="K1" s="12" t="s">
        <v>50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 t="s">
        <v>8</v>
      </c>
      <c r="B2" s="15" t="str">
        <f t="shared" ref="B2:B11" si="1">I2&amp;" "&amp;J2</f>
        <v>Joseph Martinez</v>
      </c>
      <c r="C2" s="14" t="s">
        <v>11</v>
      </c>
      <c r="D2" s="14">
        <v>524.0</v>
      </c>
      <c r="E2" s="16" t="str">
        <f t="shared" ref="E2:E11" si="2">IF(D2&lt;500,"Low",
 IF(D2&lt;700,"Medium",
 "High"))</f>
        <v>Medium</v>
      </c>
      <c r="F2" s="14">
        <v>86.0</v>
      </c>
      <c r="G2" s="17">
        <v>448129.25</v>
      </c>
      <c r="H2" s="17">
        <v>5210.81</v>
      </c>
      <c r="I2" s="14" t="s">
        <v>9</v>
      </c>
      <c r="J2" s="14" t="s">
        <v>10</v>
      </c>
      <c r="K2" s="16" t="str">
        <f t="shared" ref="K2:K11" si="3">IF(G2&gt;400000,"VIP",
 IF(G2&gt;370000,"Premium",
 "Standard"))</f>
        <v>VIP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4" t="s">
        <v>12</v>
      </c>
      <c r="B3" s="15" t="str">
        <f t="shared" si="1"/>
        <v>Erika Fischer</v>
      </c>
      <c r="C3" s="14" t="s">
        <v>15</v>
      </c>
      <c r="D3" s="14">
        <v>703.0</v>
      </c>
      <c r="E3" s="16" t="str">
        <f t="shared" si="2"/>
        <v>High</v>
      </c>
      <c r="F3" s="14">
        <v>78.0</v>
      </c>
      <c r="G3" s="17">
        <v>399596.41</v>
      </c>
      <c r="H3" s="17">
        <v>5123.03</v>
      </c>
      <c r="I3" s="14" t="s">
        <v>13</v>
      </c>
      <c r="J3" s="14" t="s">
        <v>14</v>
      </c>
      <c r="K3" s="16" t="str">
        <f t="shared" si="3"/>
        <v>Premium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4" t="s">
        <v>16</v>
      </c>
      <c r="B4" s="15" t="str">
        <f t="shared" si="1"/>
        <v>Lisa Silva</v>
      </c>
      <c r="C4" s="14" t="s">
        <v>19</v>
      </c>
      <c r="D4" s="14">
        <v>547.0</v>
      </c>
      <c r="E4" s="16" t="str">
        <f t="shared" si="2"/>
        <v>Medium</v>
      </c>
      <c r="F4" s="14">
        <v>71.0</v>
      </c>
      <c r="G4" s="17">
        <v>381630.08</v>
      </c>
      <c r="H4" s="17">
        <v>5375.07</v>
      </c>
      <c r="I4" s="14" t="s">
        <v>17</v>
      </c>
      <c r="J4" s="14" t="s">
        <v>18</v>
      </c>
      <c r="K4" s="16" t="str">
        <f t="shared" si="3"/>
        <v>Premium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4" t="s">
        <v>20</v>
      </c>
      <c r="B5" s="15" t="str">
        <f t="shared" si="1"/>
        <v>Emma Franklin</v>
      </c>
      <c r="C5" s="14" t="s">
        <v>23</v>
      </c>
      <c r="D5" s="14">
        <v>335.0</v>
      </c>
      <c r="E5" s="16" t="str">
        <f t="shared" si="2"/>
        <v>Low</v>
      </c>
      <c r="F5" s="14">
        <v>73.0</v>
      </c>
      <c r="G5" s="17">
        <v>369434.86</v>
      </c>
      <c r="H5" s="17">
        <v>5060.75</v>
      </c>
      <c r="I5" s="14" t="s">
        <v>21</v>
      </c>
      <c r="J5" s="14" t="s">
        <v>22</v>
      </c>
      <c r="K5" s="16" t="str">
        <f t="shared" si="3"/>
        <v>Standard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4" t="s">
        <v>24</v>
      </c>
      <c r="B6" s="15" t="str">
        <f t="shared" si="1"/>
        <v>James Bryant</v>
      </c>
      <c r="C6" s="14" t="s">
        <v>27</v>
      </c>
      <c r="D6" s="14">
        <v>594.0</v>
      </c>
      <c r="E6" s="16" t="str">
        <f t="shared" si="2"/>
        <v>Medium</v>
      </c>
      <c r="F6" s="14">
        <v>76.0</v>
      </c>
      <c r="G6" s="17">
        <v>366989.68</v>
      </c>
      <c r="H6" s="17">
        <v>4828.81</v>
      </c>
      <c r="I6" s="14" t="s">
        <v>25</v>
      </c>
      <c r="J6" s="14" t="s">
        <v>26</v>
      </c>
      <c r="K6" s="16" t="str">
        <f t="shared" si="3"/>
        <v>Standard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4" t="s">
        <v>28</v>
      </c>
      <c r="B7" s="15" t="str">
        <f t="shared" si="1"/>
        <v>Sandra Terry</v>
      </c>
      <c r="C7" s="14" t="s">
        <v>31</v>
      </c>
      <c r="D7" s="14">
        <v>532.0</v>
      </c>
      <c r="E7" s="16" t="str">
        <f t="shared" si="2"/>
        <v>Medium</v>
      </c>
      <c r="F7" s="14">
        <v>68.0</v>
      </c>
      <c r="G7" s="17">
        <v>366914.87</v>
      </c>
      <c r="H7" s="17">
        <v>5395.81</v>
      </c>
      <c r="I7" s="14" t="s">
        <v>29</v>
      </c>
      <c r="J7" s="14" t="s">
        <v>30</v>
      </c>
      <c r="K7" s="16" t="str">
        <f t="shared" si="3"/>
        <v>Standard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4" t="s">
        <v>32</v>
      </c>
      <c r="B8" s="15" t="str">
        <f t="shared" si="1"/>
        <v>Keith Bautista</v>
      </c>
      <c r="C8" s="14" t="s">
        <v>35</v>
      </c>
      <c r="D8" s="14">
        <v>508.0</v>
      </c>
      <c r="E8" s="16" t="str">
        <f t="shared" si="2"/>
        <v>Medium</v>
      </c>
      <c r="F8" s="14">
        <v>68.0</v>
      </c>
      <c r="G8" s="17">
        <v>366292.52</v>
      </c>
      <c r="H8" s="17">
        <v>5386.65</v>
      </c>
      <c r="I8" s="14" t="s">
        <v>33</v>
      </c>
      <c r="J8" s="14" t="s">
        <v>34</v>
      </c>
      <c r="K8" s="16" t="str">
        <f t="shared" si="3"/>
        <v>Standard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4" t="s">
        <v>36</v>
      </c>
      <c r="B9" s="15" t="str">
        <f t="shared" si="1"/>
        <v>Bobby Wagner</v>
      </c>
      <c r="C9" s="14" t="s">
        <v>39</v>
      </c>
      <c r="D9" s="14">
        <v>812.0</v>
      </c>
      <c r="E9" s="16" t="str">
        <f t="shared" si="2"/>
        <v>High</v>
      </c>
      <c r="F9" s="14">
        <v>64.0</v>
      </c>
      <c r="G9" s="17">
        <v>359580.48</v>
      </c>
      <c r="H9" s="17">
        <v>5618.45</v>
      </c>
      <c r="I9" s="14" t="s">
        <v>37</v>
      </c>
      <c r="J9" s="14" t="s">
        <v>38</v>
      </c>
      <c r="K9" s="16" t="str">
        <f t="shared" si="3"/>
        <v>Standard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4" t="s">
        <v>40</v>
      </c>
      <c r="B10" s="15" t="str">
        <f t="shared" si="1"/>
        <v>Jeanette Jenkins</v>
      </c>
      <c r="C10" s="14" t="s">
        <v>43</v>
      </c>
      <c r="D10" s="14">
        <v>649.0</v>
      </c>
      <c r="E10" s="16" t="str">
        <f t="shared" si="2"/>
        <v>Medium</v>
      </c>
      <c r="F10" s="14">
        <v>68.0</v>
      </c>
      <c r="G10" s="17">
        <v>359371.49</v>
      </c>
      <c r="H10" s="17">
        <v>5284.87</v>
      </c>
      <c r="I10" s="14" t="s">
        <v>41</v>
      </c>
      <c r="J10" s="14" t="s">
        <v>42</v>
      </c>
      <c r="K10" s="16" t="str">
        <f t="shared" si="3"/>
        <v>Standard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4" t="s">
        <v>44</v>
      </c>
      <c r="B11" s="15" t="str">
        <f t="shared" si="1"/>
        <v>Allison Marsh</v>
      </c>
      <c r="C11" s="14" t="s">
        <v>47</v>
      </c>
      <c r="D11" s="14">
        <v>319.0</v>
      </c>
      <c r="E11" s="16" t="str">
        <f t="shared" si="2"/>
        <v>Low</v>
      </c>
      <c r="F11" s="14">
        <v>70.0</v>
      </c>
      <c r="G11" s="17">
        <v>356854.03</v>
      </c>
      <c r="H11" s="17">
        <v>5097.91</v>
      </c>
      <c r="I11" s="14" t="s">
        <v>45</v>
      </c>
      <c r="J11" s="14" t="s">
        <v>46</v>
      </c>
      <c r="K11" s="16" t="str">
        <f t="shared" si="3"/>
        <v>Standard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8"/>
      <c r="H12" s="8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"/>
      <c r="B13" s="7"/>
      <c r="C13" s="7"/>
      <c r="D13" s="7"/>
      <c r="E13" s="7"/>
      <c r="F13" s="7"/>
      <c r="G13" s="8"/>
      <c r="H13" s="8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8"/>
      <c r="H14" s="8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/>
      <c r="B15" s="7"/>
      <c r="C15" s="7"/>
      <c r="D15" s="7"/>
      <c r="E15" s="7"/>
      <c r="F15" s="7"/>
      <c r="G15" s="8"/>
      <c r="H15" s="8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9"/>
      <c r="B16" s="7"/>
      <c r="C16" s="7"/>
      <c r="D16" s="7"/>
      <c r="E16" s="7"/>
      <c r="F16" s="7"/>
      <c r="G16" s="8"/>
      <c r="H16" s="8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8"/>
      <c r="H17" s="8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/>
      <c r="B18" s="7"/>
      <c r="C18" s="7"/>
      <c r="D18" s="7"/>
      <c r="E18" s="7"/>
      <c r="F18" s="7"/>
      <c r="G18" s="8"/>
      <c r="H18" s="8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9"/>
      <c r="B19" s="7"/>
      <c r="C19" s="7"/>
      <c r="D19" s="7"/>
      <c r="E19" s="7"/>
      <c r="F19" s="7"/>
      <c r="G19" s="8"/>
      <c r="H19" s="8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8"/>
      <c r="H20" s="8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8"/>
      <c r="G21" s="8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>
      <c r="A22" s="7"/>
      <c r="B22" s="7"/>
      <c r="C22" s="7"/>
      <c r="D22" s="7"/>
      <c r="E22" s="7"/>
      <c r="F22" s="8"/>
      <c r="G22" s="8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>
      <c r="A23" s="7"/>
      <c r="B23" s="7"/>
      <c r="C23" s="7"/>
      <c r="D23" s="7"/>
      <c r="E23" s="7"/>
      <c r="F23" s="7"/>
      <c r="G23" s="8"/>
      <c r="H23" s="8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8"/>
      <c r="H24" s="8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8"/>
      <c r="H25" s="8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8"/>
      <c r="H26" s="8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8"/>
      <c r="H28" s="8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8"/>
      <c r="H29" s="8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8"/>
      <c r="H30" s="8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8"/>
      <c r="H31" s="8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8"/>
      <c r="H33" s="8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8"/>
      <c r="H34" s="8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8"/>
      <c r="H35" s="8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8"/>
      <c r="H36" s="8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8"/>
      <c r="H37" s="8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8"/>
      <c r="H38" s="8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8"/>
      <c r="H39" s="8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8"/>
      <c r="H40" s="8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8"/>
      <c r="H41" s="8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8"/>
      <c r="H42" s="8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8"/>
      <c r="H43" s="8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8"/>
      <c r="H44" s="8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8"/>
      <c r="H45" s="8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8"/>
      <c r="H46" s="8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8"/>
      <c r="H47" s="8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8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8"/>
      <c r="H49" s="8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8"/>
      <c r="H50" s="8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8"/>
      <c r="H51" s="8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8"/>
      <c r="H52" s="8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8"/>
      <c r="H53" s="8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8"/>
      <c r="H54" s="8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8"/>
      <c r="H55" s="8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8"/>
      <c r="H56" s="8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8"/>
      <c r="H57" s="8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8"/>
      <c r="H58" s="8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8"/>
      <c r="H59" s="8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8"/>
      <c r="H60" s="8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8"/>
      <c r="H61" s="8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8"/>
      <c r="H62" s="8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8"/>
      <c r="H63" s="8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8"/>
      <c r="H64" s="8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8"/>
      <c r="H65" s="8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8"/>
      <c r="H66" s="8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8"/>
      <c r="H67" s="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8"/>
      <c r="H68" s="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8"/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8"/>
      <c r="H70" s="8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8"/>
      <c r="H71" s="8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8"/>
      <c r="H72" s="8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8"/>
      <c r="H73" s="8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8"/>
      <c r="H74" s="8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8"/>
      <c r="H75" s="8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8"/>
      <c r="H76" s="8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8"/>
      <c r="H77" s="8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8"/>
      <c r="H78" s="8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8"/>
      <c r="H79" s="8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8"/>
      <c r="H80" s="8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8"/>
      <c r="H81" s="8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8"/>
      <c r="H82" s="8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8"/>
      <c r="H83" s="8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8"/>
      <c r="H84" s="8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8"/>
      <c r="H85" s="8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8"/>
      <c r="H86" s="8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8"/>
      <c r="H87" s="8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8"/>
      <c r="H88" s="8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8"/>
      <c r="H89" s="8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8"/>
      <c r="H90" s="8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8"/>
      <c r="H91" s="8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8"/>
      <c r="H92" s="8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8"/>
      <c r="H93" s="8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8"/>
      <c r="H94" s="8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8"/>
      <c r="H95" s="8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8"/>
      <c r="H96" s="8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8"/>
      <c r="H97" s="8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8"/>
      <c r="H98" s="8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8"/>
      <c r="H99" s="8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8"/>
      <c r="H100" s="8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8"/>
      <c r="H101" s="8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8"/>
      <c r="H102" s="8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8"/>
      <c r="H103" s="8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8"/>
      <c r="H104" s="8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8"/>
      <c r="H105" s="8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8"/>
      <c r="H106" s="8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8"/>
      <c r="H107" s="8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8"/>
      <c r="H108" s="8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8"/>
      <c r="H109" s="8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8"/>
      <c r="H110" s="8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8"/>
      <c r="H111" s="8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8"/>
      <c r="H112" s="8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8"/>
      <c r="H113" s="8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8"/>
      <c r="H114" s="8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8"/>
      <c r="H115" s="8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8"/>
      <c r="H116" s="8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8"/>
      <c r="H117" s="8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8"/>
      <c r="H118" s="8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8"/>
      <c r="H119" s="8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8"/>
      <c r="H120" s="8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8"/>
      <c r="H121" s="8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8"/>
      <c r="H122" s="8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8"/>
      <c r="H123" s="8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8"/>
      <c r="H124" s="8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8"/>
      <c r="H125" s="8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8"/>
      <c r="H126" s="8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8"/>
      <c r="H127" s="8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8"/>
      <c r="H128" s="8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8"/>
      <c r="H129" s="8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8"/>
      <c r="H130" s="8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8"/>
      <c r="H131" s="8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8"/>
      <c r="H132" s="8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8"/>
      <c r="H133" s="8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8"/>
      <c r="H134" s="8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8"/>
      <c r="H135" s="8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8"/>
      <c r="H136" s="8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8"/>
      <c r="H137" s="8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8"/>
      <c r="H138" s="8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8"/>
      <c r="H139" s="8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8"/>
      <c r="H140" s="8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8"/>
      <c r="H141" s="8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8"/>
      <c r="H142" s="8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8"/>
      <c r="H143" s="8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8"/>
      <c r="H144" s="8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8"/>
      <c r="H145" s="8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8"/>
      <c r="H146" s="8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8"/>
      <c r="H147" s="8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8"/>
      <c r="H148" s="8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8"/>
      <c r="H149" s="8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8"/>
      <c r="H150" s="8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8"/>
      <c r="H151" s="8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8"/>
      <c r="H152" s="8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8"/>
      <c r="H153" s="8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8"/>
      <c r="H154" s="8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8"/>
      <c r="H155" s="8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8"/>
      <c r="H156" s="8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8"/>
      <c r="H157" s="8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8"/>
      <c r="H158" s="8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8"/>
      <c r="H159" s="8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8"/>
      <c r="H160" s="8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8"/>
      <c r="H161" s="8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8"/>
      <c r="H162" s="8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8"/>
      <c r="H163" s="8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8"/>
      <c r="H164" s="8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8"/>
      <c r="H165" s="8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8"/>
      <c r="H166" s="8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8"/>
      <c r="H167" s="8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8"/>
      <c r="H168" s="8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8"/>
      <c r="H169" s="8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8"/>
      <c r="H170" s="8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8"/>
      <c r="H171" s="8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8"/>
      <c r="H172" s="8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8"/>
      <c r="H173" s="8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8"/>
      <c r="H174" s="8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8"/>
      <c r="H175" s="8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8"/>
      <c r="H176" s="8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8"/>
      <c r="H177" s="8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8"/>
      <c r="H178" s="8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8"/>
      <c r="H179" s="8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8"/>
      <c r="H180" s="8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8"/>
      <c r="H181" s="8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8"/>
      <c r="H182" s="8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8"/>
      <c r="H183" s="8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8"/>
      <c r="H184" s="8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8"/>
      <c r="H185" s="8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8"/>
      <c r="H186" s="8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8"/>
      <c r="H187" s="8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8"/>
      <c r="H188" s="8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8"/>
      <c r="H189" s="8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8"/>
      <c r="H190" s="8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8"/>
      <c r="H191" s="8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8"/>
      <c r="H192" s="8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8"/>
      <c r="H193" s="8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8"/>
      <c r="H194" s="8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8"/>
      <c r="H195" s="8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8"/>
      <c r="H196" s="8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8"/>
      <c r="H197" s="8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8"/>
      <c r="H198" s="8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8"/>
      <c r="H199" s="8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8"/>
      <c r="H200" s="8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8"/>
      <c r="H201" s="8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8"/>
      <c r="H202" s="8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8"/>
      <c r="H203" s="8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8"/>
      <c r="H204" s="8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8"/>
      <c r="H205" s="8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8"/>
      <c r="H206" s="8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8"/>
      <c r="H207" s="8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8"/>
      <c r="H208" s="8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8"/>
      <c r="H209" s="8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8"/>
      <c r="H210" s="8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8"/>
      <c r="H211" s="8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8"/>
      <c r="H212" s="8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8"/>
      <c r="H213" s="8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8"/>
      <c r="H214" s="8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8"/>
      <c r="H215" s="8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8"/>
      <c r="H216" s="8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8"/>
      <c r="H217" s="8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8"/>
      <c r="H218" s="8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8"/>
      <c r="H219" s="8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8"/>
      <c r="H220" s="8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8"/>
      <c r="H221" s="8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8"/>
      <c r="H222" s="8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8"/>
      <c r="H223" s="8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8"/>
      <c r="H224" s="8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8"/>
      <c r="H225" s="8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8"/>
      <c r="H226" s="8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8"/>
      <c r="H227" s="8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8"/>
      <c r="H228" s="8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8"/>
      <c r="H229" s="8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8"/>
      <c r="H230" s="8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8"/>
      <c r="H231" s="8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8"/>
      <c r="H232" s="8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8"/>
      <c r="H233" s="8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8"/>
      <c r="H234" s="8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8"/>
      <c r="H235" s="8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8"/>
      <c r="H236" s="8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8"/>
      <c r="H237" s="8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8"/>
      <c r="H238" s="8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8"/>
      <c r="H239" s="8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8"/>
      <c r="H240" s="8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8"/>
      <c r="H241" s="8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8"/>
      <c r="H242" s="8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8"/>
      <c r="H243" s="8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8"/>
      <c r="H244" s="8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8"/>
      <c r="H245" s="8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8"/>
      <c r="H246" s="8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8"/>
      <c r="H247" s="8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8"/>
      <c r="H248" s="8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8"/>
      <c r="H249" s="8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8"/>
      <c r="H250" s="8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8"/>
      <c r="H251" s="8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8"/>
      <c r="H252" s="8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8"/>
      <c r="H253" s="8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8"/>
      <c r="H254" s="8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8"/>
      <c r="H255" s="8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8"/>
      <c r="H256" s="8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8"/>
      <c r="H257" s="8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8"/>
      <c r="H258" s="8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8"/>
      <c r="H259" s="8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8"/>
      <c r="H260" s="8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8"/>
      <c r="H261" s="8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8"/>
      <c r="H262" s="8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8"/>
      <c r="H263" s="8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8"/>
      <c r="H264" s="8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8"/>
      <c r="H265" s="8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8"/>
      <c r="H266" s="8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8"/>
      <c r="H267" s="8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8"/>
      <c r="H268" s="8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8"/>
      <c r="H269" s="8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8"/>
      <c r="H270" s="8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8"/>
      <c r="H271" s="8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8"/>
      <c r="H272" s="8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8"/>
      <c r="H273" s="8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8"/>
      <c r="H274" s="8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8"/>
      <c r="H275" s="8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8"/>
      <c r="H276" s="8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8"/>
      <c r="H277" s="8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8"/>
      <c r="H278" s="8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8"/>
      <c r="H279" s="8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8"/>
      <c r="H280" s="8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8"/>
      <c r="H281" s="8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8"/>
      <c r="H282" s="8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8"/>
      <c r="H283" s="8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8"/>
      <c r="H284" s="8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8"/>
      <c r="H285" s="8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8"/>
      <c r="H286" s="8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8"/>
      <c r="H287" s="8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8"/>
      <c r="H288" s="8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8"/>
      <c r="H289" s="8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8"/>
      <c r="H290" s="8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8"/>
      <c r="H291" s="8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8"/>
      <c r="H292" s="8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8"/>
      <c r="H293" s="8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8"/>
      <c r="H294" s="8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8"/>
      <c r="H295" s="8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8"/>
      <c r="H296" s="8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8"/>
      <c r="H297" s="8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8"/>
      <c r="H298" s="8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8"/>
      <c r="H299" s="8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8"/>
      <c r="H300" s="8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8"/>
      <c r="H301" s="8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8"/>
      <c r="H302" s="8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8"/>
      <c r="H303" s="8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8"/>
      <c r="H304" s="8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8"/>
      <c r="H305" s="8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8"/>
      <c r="H306" s="8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8"/>
      <c r="H307" s="8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8"/>
      <c r="H308" s="8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8"/>
      <c r="H309" s="8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8"/>
      <c r="H310" s="8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8"/>
      <c r="H311" s="8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8"/>
      <c r="H312" s="8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8"/>
      <c r="H313" s="8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8"/>
      <c r="H314" s="8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8"/>
      <c r="H315" s="8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8"/>
      <c r="H316" s="8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8"/>
      <c r="H317" s="8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8"/>
      <c r="H318" s="8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8"/>
      <c r="H319" s="8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8"/>
      <c r="H320" s="8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8"/>
      <c r="H321" s="8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8"/>
      <c r="H322" s="8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8"/>
      <c r="H323" s="8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8"/>
      <c r="H324" s="8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8"/>
      <c r="H325" s="8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8"/>
      <c r="H326" s="8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8"/>
      <c r="H327" s="8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8"/>
      <c r="H328" s="8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8"/>
      <c r="H329" s="8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8"/>
      <c r="H330" s="8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8"/>
      <c r="H331" s="8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8"/>
      <c r="H332" s="8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8"/>
      <c r="H333" s="8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8"/>
      <c r="H334" s="8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8"/>
      <c r="H335" s="8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8"/>
      <c r="H336" s="8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8"/>
      <c r="H337" s="8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8"/>
      <c r="H338" s="8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8"/>
      <c r="H339" s="8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8"/>
      <c r="H340" s="8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8"/>
      <c r="H341" s="8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8"/>
      <c r="H342" s="8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8"/>
      <c r="H343" s="8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8"/>
      <c r="H344" s="8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8"/>
      <c r="H345" s="8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8"/>
      <c r="H346" s="8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8"/>
      <c r="H347" s="8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8"/>
      <c r="H348" s="8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8"/>
      <c r="H349" s="8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8"/>
      <c r="H350" s="8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8"/>
      <c r="H351" s="8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8"/>
      <c r="H352" s="8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8"/>
      <c r="H353" s="8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8"/>
      <c r="H354" s="8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8"/>
      <c r="H355" s="8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8"/>
      <c r="H356" s="8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8"/>
      <c r="H357" s="8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8"/>
      <c r="H358" s="8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8"/>
      <c r="H359" s="8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8"/>
      <c r="H360" s="8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8"/>
      <c r="H361" s="8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8"/>
      <c r="H362" s="8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8"/>
      <c r="H363" s="8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8"/>
      <c r="H364" s="8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8"/>
      <c r="H365" s="8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8"/>
      <c r="H366" s="8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8"/>
      <c r="H367" s="8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8"/>
      <c r="H368" s="8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8"/>
      <c r="H369" s="8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8"/>
      <c r="H370" s="8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8"/>
      <c r="H371" s="8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8"/>
      <c r="H372" s="8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8"/>
      <c r="H373" s="8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8"/>
      <c r="H374" s="8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8"/>
      <c r="H375" s="8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8"/>
      <c r="H376" s="8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8"/>
      <c r="H377" s="8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8"/>
      <c r="H378" s="8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8"/>
      <c r="H379" s="8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8"/>
      <c r="H380" s="8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8"/>
      <c r="H381" s="8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8"/>
      <c r="H382" s="8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8"/>
      <c r="H383" s="8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8"/>
      <c r="H384" s="8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8"/>
      <c r="H385" s="8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8"/>
      <c r="H386" s="8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8"/>
      <c r="H387" s="8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8"/>
      <c r="H388" s="8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8"/>
      <c r="H389" s="8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8"/>
      <c r="H390" s="8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8"/>
      <c r="H391" s="8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8"/>
      <c r="H392" s="8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8"/>
      <c r="H393" s="8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8"/>
      <c r="H394" s="8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8"/>
      <c r="H395" s="8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8"/>
      <c r="H396" s="8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8"/>
      <c r="H397" s="8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8"/>
      <c r="H398" s="8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8"/>
      <c r="H399" s="8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8"/>
      <c r="H400" s="8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8"/>
      <c r="H401" s="8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8"/>
      <c r="H402" s="8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8"/>
      <c r="H403" s="8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8"/>
      <c r="H404" s="8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8"/>
      <c r="H405" s="8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8"/>
      <c r="H406" s="8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8"/>
      <c r="H407" s="8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8"/>
      <c r="H408" s="8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8"/>
      <c r="H409" s="8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8"/>
      <c r="H410" s="8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8"/>
      <c r="H411" s="8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8"/>
      <c r="H412" s="8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8"/>
      <c r="H413" s="8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8"/>
      <c r="H414" s="8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8"/>
      <c r="H415" s="8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8"/>
      <c r="H416" s="8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8"/>
      <c r="H417" s="8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8"/>
      <c r="H418" s="8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8"/>
      <c r="H419" s="8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8"/>
      <c r="H420" s="8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8"/>
      <c r="H421" s="8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8"/>
      <c r="H422" s="8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8"/>
      <c r="H423" s="8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8"/>
      <c r="H424" s="8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8"/>
      <c r="H425" s="8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8"/>
      <c r="H426" s="8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8"/>
      <c r="H427" s="8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8"/>
      <c r="H428" s="8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8"/>
      <c r="H429" s="8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8"/>
      <c r="H430" s="8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8"/>
      <c r="H431" s="8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8"/>
      <c r="H432" s="8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8"/>
      <c r="H433" s="8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8"/>
      <c r="H434" s="8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8"/>
      <c r="H435" s="8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8"/>
      <c r="H436" s="8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8"/>
      <c r="H437" s="8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8"/>
      <c r="H438" s="8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8"/>
      <c r="H439" s="8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8"/>
      <c r="H440" s="8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8"/>
      <c r="H441" s="8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8"/>
      <c r="H442" s="8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8"/>
      <c r="H443" s="8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8"/>
      <c r="H444" s="8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8"/>
      <c r="H445" s="8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8"/>
      <c r="H446" s="8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8"/>
      <c r="H447" s="8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8"/>
      <c r="H448" s="8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8"/>
      <c r="H449" s="8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8"/>
      <c r="H450" s="8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8"/>
      <c r="H451" s="8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8"/>
      <c r="H452" s="8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8"/>
      <c r="H453" s="8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8"/>
      <c r="H454" s="8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8"/>
      <c r="H455" s="8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8"/>
      <c r="H456" s="8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8"/>
      <c r="H457" s="8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8"/>
      <c r="H458" s="8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8"/>
      <c r="H459" s="8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8"/>
      <c r="H460" s="8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8"/>
      <c r="H461" s="8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8"/>
      <c r="H462" s="8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8"/>
      <c r="H463" s="8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8"/>
      <c r="H464" s="8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8"/>
      <c r="H465" s="8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8"/>
      <c r="H466" s="8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8"/>
      <c r="H467" s="8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8"/>
      <c r="H468" s="8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8"/>
      <c r="H469" s="8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8"/>
      <c r="H470" s="8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8"/>
      <c r="H471" s="8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8"/>
      <c r="H472" s="8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8"/>
      <c r="H473" s="8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8"/>
      <c r="H474" s="8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8"/>
      <c r="H475" s="8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8"/>
      <c r="H476" s="8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8"/>
      <c r="H477" s="8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8"/>
      <c r="H478" s="8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8"/>
      <c r="H479" s="8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8"/>
      <c r="H480" s="8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8"/>
      <c r="H481" s="8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8"/>
      <c r="H482" s="8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8"/>
      <c r="H483" s="8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8"/>
      <c r="H484" s="8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8"/>
      <c r="H485" s="8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8"/>
      <c r="H486" s="8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8"/>
      <c r="H487" s="8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8"/>
      <c r="H488" s="8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8"/>
      <c r="H489" s="8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8"/>
      <c r="H490" s="8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8"/>
      <c r="H491" s="8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8"/>
      <c r="H492" s="8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8"/>
      <c r="H493" s="8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8"/>
      <c r="H494" s="8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8"/>
      <c r="H495" s="8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8"/>
      <c r="H496" s="8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8"/>
      <c r="H497" s="8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8"/>
      <c r="H498" s="8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8"/>
      <c r="H499" s="8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8"/>
      <c r="H500" s="8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8"/>
      <c r="H501" s="8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8"/>
      <c r="H502" s="8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8"/>
      <c r="H503" s="8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8"/>
      <c r="H504" s="8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8"/>
      <c r="H505" s="8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8"/>
      <c r="H506" s="8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8"/>
      <c r="H507" s="8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8"/>
      <c r="H508" s="8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8"/>
      <c r="H509" s="8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8"/>
      <c r="H510" s="8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8"/>
      <c r="H511" s="8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8"/>
      <c r="H512" s="8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8"/>
      <c r="H513" s="8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8"/>
      <c r="H514" s="8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8"/>
      <c r="H515" s="8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8"/>
      <c r="H516" s="8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8"/>
      <c r="H517" s="8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8"/>
      <c r="H518" s="8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8"/>
      <c r="H519" s="8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8"/>
      <c r="H520" s="8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8"/>
      <c r="H521" s="8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8"/>
      <c r="H522" s="8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8"/>
      <c r="H523" s="8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8"/>
      <c r="H524" s="8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8"/>
      <c r="H525" s="8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8"/>
      <c r="H526" s="8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8"/>
      <c r="H527" s="8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8"/>
      <c r="H528" s="8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8"/>
      <c r="H529" s="8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8"/>
      <c r="H530" s="8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8"/>
      <c r="H531" s="8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8"/>
      <c r="H532" s="8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8"/>
      <c r="H533" s="8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8"/>
      <c r="H534" s="8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8"/>
      <c r="H535" s="8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8"/>
      <c r="H536" s="8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8"/>
      <c r="H537" s="8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8"/>
      <c r="H538" s="8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8"/>
      <c r="H539" s="8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8"/>
      <c r="H540" s="8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8"/>
      <c r="H541" s="8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8"/>
      <c r="H542" s="8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8"/>
      <c r="H543" s="8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8"/>
      <c r="H544" s="8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8"/>
      <c r="H545" s="8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8"/>
      <c r="H546" s="8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8"/>
      <c r="H547" s="8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8"/>
      <c r="H548" s="8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8"/>
      <c r="H549" s="8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8"/>
      <c r="H550" s="8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8"/>
      <c r="H551" s="8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8"/>
      <c r="H552" s="8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8"/>
      <c r="H553" s="8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8"/>
      <c r="H554" s="8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8"/>
      <c r="H555" s="8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8"/>
      <c r="H556" s="8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8"/>
      <c r="H557" s="8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8"/>
      <c r="H558" s="8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8"/>
      <c r="H559" s="8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8"/>
      <c r="H560" s="8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8"/>
      <c r="H561" s="8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8"/>
      <c r="H562" s="8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8"/>
      <c r="H563" s="8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8"/>
      <c r="H564" s="8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8"/>
      <c r="H565" s="8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8"/>
      <c r="H566" s="8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8"/>
      <c r="H567" s="8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8"/>
      <c r="H568" s="8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8"/>
      <c r="H569" s="8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8"/>
      <c r="H570" s="8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8"/>
      <c r="H571" s="8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8"/>
      <c r="H572" s="8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8"/>
      <c r="H573" s="8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8"/>
      <c r="H574" s="8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8"/>
      <c r="H575" s="8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8"/>
      <c r="H576" s="8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8"/>
      <c r="H577" s="8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8"/>
      <c r="H578" s="8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8"/>
      <c r="H579" s="8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8"/>
      <c r="H580" s="8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8"/>
      <c r="H581" s="8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8"/>
      <c r="H582" s="8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8"/>
      <c r="H583" s="8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8"/>
      <c r="H584" s="8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8"/>
      <c r="H585" s="8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8"/>
      <c r="H586" s="8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8"/>
      <c r="H587" s="8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8"/>
      <c r="H588" s="8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8"/>
      <c r="H589" s="8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8"/>
      <c r="H590" s="8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8"/>
      <c r="H591" s="8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8"/>
      <c r="H592" s="8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8"/>
      <c r="H593" s="8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8"/>
      <c r="H594" s="8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8"/>
      <c r="H595" s="8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8"/>
      <c r="H596" s="8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8"/>
      <c r="H597" s="8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8"/>
      <c r="H598" s="8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8"/>
      <c r="H599" s="8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8"/>
      <c r="H600" s="8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8"/>
      <c r="H601" s="8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8"/>
      <c r="H602" s="8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8"/>
      <c r="H603" s="8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8"/>
      <c r="H604" s="8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8"/>
      <c r="H605" s="8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8"/>
      <c r="H606" s="8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8"/>
      <c r="H607" s="8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8"/>
      <c r="H608" s="8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8"/>
      <c r="H609" s="8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8"/>
      <c r="H610" s="8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8"/>
      <c r="H611" s="8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8"/>
      <c r="H612" s="8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8"/>
      <c r="H613" s="8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8"/>
      <c r="H614" s="8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8"/>
      <c r="H615" s="8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8"/>
      <c r="H616" s="8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8"/>
      <c r="H617" s="8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8"/>
      <c r="H618" s="8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8"/>
      <c r="H619" s="8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8"/>
      <c r="H620" s="8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8"/>
      <c r="H621" s="8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8"/>
      <c r="H622" s="8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8"/>
      <c r="H623" s="8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8"/>
      <c r="H624" s="8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8"/>
      <c r="H625" s="8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8"/>
      <c r="H626" s="8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8"/>
      <c r="H627" s="8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8"/>
      <c r="H628" s="8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8"/>
      <c r="H629" s="8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8"/>
      <c r="H630" s="8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8"/>
      <c r="H631" s="8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8"/>
      <c r="H632" s="8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8"/>
      <c r="H633" s="8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8"/>
      <c r="H634" s="8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8"/>
      <c r="H635" s="8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8"/>
      <c r="H636" s="8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8"/>
      <c r="H637" s="8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8"/>
      <c r="H638" s="8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8"/>
      <c r="H639" s="8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8"/>
      <c r="H640" s="8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8"/>
      <c r="H641" s="8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8"/>
      <c r="H642" s="8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8"/>
      <c r="H643" s="8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8"/>
      <c r="H644" s="8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8"/>
      <c r="H645" s="8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8"/>
      <c r="H646" s="8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8"/>
      <c r="H647" s="8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8"/>
      <c r="H648" s="8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8"/>
      <c r="H649" s="8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8"/>
      <c r="H650" s="8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8"/>
      <c r="H651" s="8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8"/>
      <c r="H652" s="8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8"/>
      <c r="H653" s="8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8"/>
      <c r="H654" s="8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8"/>
      <c r="H655" s="8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8"/>
      <c r="H656" s="8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8"/>
      <c r="H657" s="8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8"/>
      <c r="H658" s="8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8"/>
      <c r="H659" s="8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8"/>
      <c r="H660" s="8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8"/>
      <c r="H661" s="8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8"/>
      <c r="H662" s="8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8"/>
      <c r="H663" s="8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8"/>
      <c r="H664" s="8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8"/>
      <c r="H665" s="8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8"/>
      <c r="H666" s="8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8"/>
      <c r="H667" s="8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8"/>
      <c r="H668" s="8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8"/>
      <c r="H669" s="8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8"/>
      <c r="H670" s="8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8"/>
      <c r="H671" s="8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8"/>
      <c r="H672" s="8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8"/>
      <c r="H673" s="8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8"/>
      <c r="H674" s="8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8"/>
      <c r="H675" s="8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8"/>
      <c r="H676" s="8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8"/>
      <c r="H677" s="8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8"/>
      <c r="H678" s="8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8"/>
      <c r="H679" s="8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8"/>
      <c r="H680" s="8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8"/>
      <c r="H681" s="8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8"/>
      <c r="H682" s="8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8"/>
      <c r="H683" s="8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8"/>
      <c r="H684" s="8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8"/>
      <c r="H685" s="8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8"/>
      <c r="H686" s="8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8"/>
      <c r="H687" s="8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8"/>
      <c r="H688" s="8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8"/>
      <c r="H689" s="8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8"/>
      <c r="H690" s="8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8"/>
      <c r="H691" s="8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8"/>
      <c r="H692" s="8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8"/>
      <c r="H693" s="8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8"/>
      <c r="H694" s="8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8"/>
      <c r="H695" s="8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8"/>
      <c r="H696" s="8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8"/>
      <c r="H697" s="8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8"/>
      <c r="H698" s="8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8"/>
      <c r="H699" s="8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8"/>
      <c r="H700" s="8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8"/>
      <c r="H701" s="8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8"/>
      <c r="H702" s="8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8"/>
      <c r="H703" s="8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8"/>
      <c r="H704" s="8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8"/>
      <c r="H705" s="8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8"/>
      <c r="H706" s="8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8"/>
      <c r="H707" s="8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8"/>
      <c r="H708" s="8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8"/>
      <c r="H709" s="8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8"/>
      <c r="H710" s="8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8"/>
      <c r="H711" s="8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8"/>
      <c r="H712" s="8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8"/>
      <c r="H713" s="8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8"/>
      <c r="H714" s="8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8"/>
      <c r="H715" s="8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8"/>
      <c r="H716" s="8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8"/>
      <c r="H717" s="8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8"/>
      <c r="H718" s="8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8"/>
      <c r="H719" s="8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8"/>
      <c r="H720" s="8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8"/>
      <c r="H721" s="8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8"/>
      <c r="H722" s="8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8"/>
      <c r="H723" s="8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8"/>
      <c r="H724" s="8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8"/>
      <c r="H725" s="8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8"/>
      <c r="H726" s="8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8"/>
      <c r="H727" s="8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8"/>
      <c r="H728" s="8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8"/>
      <c r="H729" s="8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8"/>
      <c r="H730" s="8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8"/>
      <c r="H731" s="8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8"/>
      <c r="H732" s="8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8"/>
      <c r="H733" s="8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8"/>
      <c r="H734" s="8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8"/>
      <c r="H735" s="8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8"/>
      <c r="H736" s="8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8"/>
      <c r="H737" s="8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8"/>
      <c r="H738" s="8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8"/>
      <c r="H739" s="8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8"/>
      <c r="H740" s="8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8"/>
      <c r="H741" s="8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8"/>
      <c r="H742" s="8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8"/>
      <c r="H743" s="8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8"/>
      <c r="H744" s="8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8"/>
      <c r="H745" s="8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8"/>
      <c r="H746" s="8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8"/>
      <c r="H747" s="8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8"/>
      <c r="H748" s="8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8"/>
      <c r="H749" s="8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8"/>
      <c r="H750" s="8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8"/>
      <c r="H751" s="8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8"/>
      <c r="H752" s="8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8"/>
      <c r="H753" s="8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8"/>
      <c r="H754" s="8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8"/>
      <c r="H755" s="8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8"/>
      <c r="H756" s="8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8"/>
      <c r="H757" s="8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8"/>
      <c r="H758" s="8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8"/>
      <c r="H759" s="8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8"/>
      <c r="H760" s="8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8"/>
      <c r="H761" s="8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8"/>
      <c r="H762" s="8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8"/>
      <c r="H763" s="8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8"/>
      <c r="H764" s="8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8"/>
      <c r="H765" s="8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8"/>
      <c r="H766" s="8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8"/>
      <c r="H767" s="8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8"/>
      <c r="H768" s="8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8"/>
      <c r="H769" s="8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8"/>
      <c r="H770" s="8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8"/>
      <c r="H771" s="8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8"/>
      <c r="H772" s="8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8"/>
      <c r="H773" s="8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8"/>
      <c r="H774" s="8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8"/>
      <c r="H775" s="8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8"/>
      <c r="H776" s="8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8"/>
      <c r="H777" s="8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8"/>
      <c r="H778" s="8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8"/>
      <c r="H779" s="8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8"/>
      <c r="H780" s="8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8"/>
      <c r="H781" s="8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8"/>
      <c r="H782" s="8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8"/>
      <c r="H783" s="8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8"/>
      <c r="H784" s="8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8"/>
      <c r="H785" s="8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8"/>
      <c r="H786" s="8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8"/>
      <c r="H787" s="8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8"/>
      <c r="H788" s="8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8"/>
      <c r="H789" s="8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8"/>
      <c r="H790" s="8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8"/>
      <c r="H791" s="8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8"/>
      <c r="H792" s="8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8"/>
      <c r="H793" s="8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8"/>
      <c r="H794" s="8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8"/>
      <c r="H795" s="8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8"/>
      <c r="H796" s="8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8"/>
      <c r="H797" s="8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8"/>
      <c r="H798" s="8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8"/>
      <c r="H799" s="8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8"/>
      <c r="H800" s="8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8"/>
      <c r="H801" s="8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8"/>
      <c r="H802" s="8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8"/>
      <c r="H803" s="8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8"/>
      <c r="H804" s="8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8"/>
      <c r="H805" s="8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8"/>
      <c r="H806" s="8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8"/>
      <c r="H807" s="8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8"/>
      <c r="H808" s="8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8"/>
      <c r="H809" s="8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8"/>
      <c r="H810" s="8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8"/>
      <c r="H811" s="8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8"/>
      <c r="H812" s="8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8"/>
      <c r="H813" s="8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8"/>
      <c r="H814" s="8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8"/>
      <c r="H815" s="8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8"/>
      <c r="H816" s="8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8"/>
      <c r="H817" s="8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8"/>
      <c r="H818" s="8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8"/>
      <c r="H819" s="8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8"/>
      <c r="H820" s="8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8"/>
      <c r="H821" s="8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8"/>
      <c r="H822" s="8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8"/>
      <c r="H823" s="8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8"/>
      <c r="H824" s="8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8"/>
      <c r="H825" s="8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8"/>
      <c r="H826" s="8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8"/>
      <c r="H827" s="8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8"/>
      <c r="H828" s="8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8"/>
      <c r="H829" s="8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8"/>
      <c r="H830" s="8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8"/>
      <c r="H831" s="8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8"/>
      <c r="H832" s="8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8"/>
      <c r="H833" s="8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8"/>
      <c r="H834" s="8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8"/>
      <c r="H835" s="8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8"/>
      <c r="H836" s="8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8"/>
      <c r="H837" s="8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8"/>
      <c r="H838" s="8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8"/>
      <c r="H839" s="8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8"/>
      <c r="H840" s="8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8"/>
      <c r="H841" s="8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8"/>
      <c r="H842" s="8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8"/>
      <c r="H843" s="8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8"/>
      <c r="H844" s="8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8"/>
      <c r="H845" s="8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8"/>
      <c r="H846" s="8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8"/>
      <c r="H847" s="8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8"/>
      <c r="H848" s="8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8"/>
      <c r="H849" s="8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8"/>
      <c r="H850" s="8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8"/>
      <c r="H851" s="8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8"/>
      <c r="H852" s="8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8"/>
      <c r="H853" s="8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8"/>
      <c r="H854" s="8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8"/>
      <c r="H855" s="8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8"/>
      <c r="H856" s="8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8"/>
      <c r="H857" s="8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8"/>
      <c r="H858" s="8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8"/>
      <c r="H859" s="8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8"/>
      <c r="H860" s="8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8"/>
      <c r="H861" s="8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8"/>
      <c r="H862" s="8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8"/>
      <c r="H863" s="8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8"/>
      <c r="H864" s="8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8"/>
      <c r="H865" s="8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8"/>
      <c r="H866" s="8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8"/>
      <c r="H867" s="8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8"/>
      <c r="H868" s="8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8"/>
      <c r="H869" s="8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8"/>
      <c r="H870" s="8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8"/>
      <c r="H871" s="8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8"/>
      <c r="H872" s="8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8"/>
      <c r="H873" s="8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8"/>
      <c r="H874" s="8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8"/>
      <c r="H875" s="8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8"/>
      <c r="H876" s="8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8"/>
      <c r="H877" s="8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8"/>
      <c r="H878" s="8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8"/>
      <c r="H879" s="8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8"/>
      <c r="H880" s="8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8"/>
      <c r="H881" s="8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8"/>
      <c r="H882" s="8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8"/>
      <c r="H883" s="8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8"/>
      <c r="H884" s="8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8"/>
      <c r="H885" s="8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8"/>
      <c r="H886" s="8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8"/>
      <c r="H887" s="8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8"/>
      <c r="H888" s="8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8"/>
      <c r="H889" s="8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8"/>
      <c r="H890" s="8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8"/>
      <c r="H891" s="8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8"/>
      <c r="H892" s="8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8"/>
      <c r="H893" s="8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8"/>
      <c r="H894" s="8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8"/>
      <c r="H895" s="8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8"/>
      <c r="H896" s="8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8"/>
      <c r="H897" s="8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8"/>
      <c r="H898" s="8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8"/>
      <c r="H899" s="8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8"/>
      <c r="H900" s="8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8"/>
      <c r="H901" s="8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8"/>
      <c r="H902" s="8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8"/>
      <c r="H903" s="8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8"/>
      <c r="H904" s="8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8"/>
      <c r="H905" s="8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8"/>
      <c r="H906" s="8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8"/>
      <c r="H907" s="8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8"/>
      <c r="H908" s="8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8"/>
      <c r="H909" s="8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8"/>
      <c r="H910" s="8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8"/>
      <c r="H911" s="8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8"/>
      <c r="H912" s="8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8"/>
      <c r="H913" s="8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8"/>
      <c r="H914" s="8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8"/>
      <c r="H915" s="8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8"/>
      <c r="H916" s="8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8"/>
      <c r="H917" s="8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8"/>
      <c r="H918" s="8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8"/>
      <c r="H919" s="8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8"/>
      <c r="H920" s="8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8"/>
      <c r="H921" s="8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8"/>
      <c r="H922" s="8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8"/>
      <c r="H923" s="8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8"/>
      <c r="H924" s="8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8"/>
      <c r="H925" s="8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8"/>
      <c r="H926" s="8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8"/>
      <c r="H927" s="8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8"/>
      <c r="H928" s="8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8"/>
      <c r="H929" s="8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8"/>
      <c r="H930" s="8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8"/>
      <c r="H931" s="8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8"/>
      <c r="H932" s="8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8"/>
      <c r="H933" s="8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8"/>
      <c r="H934" s="8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8"/>
      <c r="H935" s="8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8"/>
      <c r="H936" s="8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8"/>
      <c r="H937" s="8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8"/>
      <c r="H938" s="8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8"/>
      <c r="H939" s="8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8"/>
      <c r="H940" s="8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8"/>
      <c r="H941" s="8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8"/>
      <c r="H942" s="8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8"/>
      <c r="H943" s="8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8"/>
      <c r="H944" s="8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8"/>
      <c r="H945" s="8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8"/>
      <c r="H946" s="8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8"/>
      <c r="H947" s="8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8"/>
      <c r="H948" s="8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8"/>
      <c r="H949" s="8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8"/>
      <c r="H950" s="8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8"/>
      <c r="H951" s="8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8"/>
      <c r="H952" s="8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8"/>
      <c r="H953" s="8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8"/>
      <c r="H954" s="8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8"/>
      <c r="H955" s="8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8"/>
      <c r="H956" s="8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8"/>
      <c r="H957" s="8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8"/>
      <c r="H958" s="8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8"/>
      <c r="H959" s="8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8"/>
      <c r="H960" s="8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8"/>
      <c r="H961" s="8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8"/>
      <c r="H962" s="8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8"/>
      <c r="H963" s="8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8"/>
      <c r="H964" s="8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8"/>
      <c r="H965" s="8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8"/>
      <c r="H966" s="8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8"/>
      <c r="H967" s="8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8"/>
      <c r="H968" s="8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8"/>
      <c r="H969" s="8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8"/>
      <c r="H970" s="8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8"/>
      <c r="H971" s="8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8"/>
      <c r="H972" s="8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8"/>
      <c r="H973" s="8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8"/>
      <c r="H974" s="8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8"/>
      <c r="H975" s="8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8"/>
      <c r="H976" s="8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8"/>
      <c r="H977" s="8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8"/>
      <c r="H978" s="8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8"/>
      <c r="H979" s="8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8"/>
      <c r="H980" s="8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8"/>
      <c r="H981" s="8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8"/>
      <c r="H982" s="8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8"/>
      <c r="H983" s="8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8"/>
      <c r="H984" s="8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8"/>
      <c r="H985" s="8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8"/>
      <c r="H986" s="8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8"/>
      <c r="H987" s="8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8"/>
      <c r="H988" s="8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8"/>
      <c r="H989" s="8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8"/>
      <c r="H990" s="8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8"/>
      <c r="H991" s="8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8"/>
      <c r="H992" s="8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8"/>
      <c r="H993" s="8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8"/>
      <c r="H994" s="8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8"/>
      <c r="H995" s="8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8"/>
      <c r="H996" s="8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8"/>
      <c r="H997" s="8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8"/>
      <c r="H998" s="8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8"/>
      <c r="H999" s="8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8"/>
      <c r="H1000" s="8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conditionalFormatting sqref="D1:D20 C21:C22 D23:D1000">
    <cfRule type="containsText" dxfId="4" priority="1" operator="containsText" text="&lt; 500">
      <formula>NOT(ISERROR(SEARCH(("&lt; 500"),(D1))))</formula>
    </cfRule>
  </conditionalFormatting>
  <conditionalFormatting sqref="D1:D20 C21:C22 D23:D1000">
    <cfRule type="containsText" dxfId="5" priority="2" operator="containsText" text="&gt; 500">
      <formula>NOT(ISERROR(SEARCH(("&gt; 500"),(D1))))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6.75"/>
  </cols>
  <sheetData>
    <row r="1">
      <c r="A1" s="18" t="s">
        <v>51</v>
      </c>
      <c r="B1" s="18" t="s">
        <v>52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 t="str">
        <f>'02_Data_Preparation'!B2</f>
        <v>Joseph Martinez</v>
      </c>
      <c r="B2" s="21">
        <f> '02_Data_Preparation'!G2</f>
        <v>448129.25</v>
      </c>
    </row>
    <row r="3">
      <c r="A3" s="20" t="str">
        <f>'02_Data_Preparation'!B3</f>
        <v>Erika Fischer</v>
      </c>
      <c r="B3" s="21">
        <f> '02_Data_Preparation'!G3</f>
        <v>399596.41</v>
      </c>
    </row>
    <row r="4">
      <c r="A4" s="20" t="str">
        <f>'02_Data_Preparation'!B4</f>
        <v>Lisa Silva</v>
      </c>
      <c r="B4" s="21">
        <f> '02_Data_Preparation'!G4</f>
        <v>381630.08</v>
      </c>
    </row>
    <row r="5">
      <c r="A5" s="20" t="str">
        <f>'02_Data_Preparation'!B5</f>
        <v>Emma Franklin</v>
      </c>
      <c r="B5" s="21">
        <f> '02_Data_Preparation'!G5</f>
        <v>369434.86</v>
      </c>
    </row>
    <row r="6">
      <c r="A6" s="20" t="str">
        <f>'02_Data_Preparation'!B6</f>
        <v>James Bryant</v>
      </c>
      <c r="B6" s="21">
        <f> '02_Data_Preparation'!G6</f>
        <v>366989.68</v>
      </c>
    </row>
    <row r="7">
      <c r="A7" s="20" t="str">
        <f>'02_Data_Preparation'!B7</f>
        <v>Sandra Terry</v>
      </c>
      <c r="B7" s="21">
        <f> '02_Data_Preparation'!G7</f>
        <v>366914.87</v>
      </c>
    </row>
    <row r="8">
      <c r="A8" s="20" t="str">
        <f>'02_Data_Preparation'!B8</f>
        <v>Keith Bautista</v>
      </c>
      <c r="B8" s="21">
        <f> '02_Data_Preparation'!G8</f>
        <v>366292.52</v>
      </c>
    </row>
    <row r="9">
      <c r="A9" s="20" t="str">
        <f>'02_Data_Preparation'!B9</f>
        <v>Bobby Wagner</v>
      </c>
      <c r="B9" s="21">
        <f> '02_Data_Preparation'!G9</f>
        <v>359580.48</v>
      </c>
    </row>
    <row r="10">
      <c r="A10" s="20" t="str">
        <f>'02_Data_Preparation'!B10</f>
        <v>Jeanette Jenkins</v>
      </c>
      <c r="B10" s="21">
        <f> '02_Data_Preparation'!G10</f>
        <v>359371.49</v>
      </c>
    </row>
    <row r="11">
      <c r="A11" s="20" t="str">
        <f>'02_Data_Preparation'!B11</f>
        <v>Allison Marsh</v>
      </c>
      <c r="B11" s="21">
        <f> '02_Data_Preparation'!G11</f>
        <v>356854.03</v>
      </c>
    </row>
    <row r="12">
      <c r="A12" s="22" t="str">
        <f>'02_Data_Preparation'!B12</f>
        <v/>
      </c>
    </row>
  </sheetData>
  <drawing r:id="rId1"/>
</worksheet>
</file>